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ftware Development Plan" sheetId="1" r:id="rId4"/>
  </sheets>
  <definedNames/>
  <calcPr/>
  <extLst>
    <ext uri="GoogleSheetsCustomDataVersion2">
      <go:sheetsCustomData xmlns:go="http://customooxmlschemas.google.com/" r:id="rId5" roundtripDataChecksum="wMHqvmDlJd75bNk9RX6SWtXMalk0tsrzHPc8gvx65ME="/>
    </ext>
  </extLst>
</workbook>
</file>

<file path=xl/sharedStrings.xml><?xml version="1.0" encoding="utf-8"?>
<sst xmlns="http://schemas.openxmlformats.org/spreadsheetml/2006/main" count="493" uniqueCount="124">
  <si>
    <t/>
  </si>
  <si>
    <t xml:space="preserve">Cree un diagrama de Gantt en GanttPRO con solo unos pocos clics      </t>
  </si>
  <si>
    <t>Software Development Plan</t>
  </si>
  <si>
    <t>Сolor</t>
  </si>
  <si>
    <t>Número de EDT</t>
  </si>
  <si>
    <t>Nombre de la tarea / Título</t>
  </si>
  <si>
    <t>Asignado a</t>
  </si>
  <si>
    <t>Fecha de inicio planificada</t>
  </si>
  <si>
    <t>Fecha de finalización planificada</t>
  </si>
  <si>
    <t>Fecha límite</t>
  </si>
  <si>
    <t>Progreso (%)</t>
  </si>
  <si>
    <t>Duración (horas)</t>
  </si>
  <si>
    <t>Horas estimadas</t>
  </si>
  <si>
    <t>Registro de tiempo (minutos)</t>
  </si>
  <si>
    <t>Estado</t>
  </si>
  <si>
    <t>Prioridad</t>
  </si>
  <si>
    <t>Descripción de la tarea</t>
  </si>
  <si>
    <t>Costo</t>
  </si>
  <si>
    <t>Costo real</t>
  </si>
  <si>
    <t>1</t>
  </si>
  <si>
    <t>Actividades de gestión de proyectos</t>
  </si>
  <si>
    <t>1.1</t>
  </si>
  <si>
    <t>Carta del proyecto</t>
  </si>
  <si>
    <t>Abierto</t>
  </si>
  <si>
    <t>Medio</t>
  </si>
  <si>
    <t>1.2</t>
  </si>
  <si>
    <t>Plan de gestión de proyectos</t>
  </si>
  <si>
    <t>1.3</t>
  </si>
  <si>
    <t>Actividades de monitoreo/control</t>
  </si>
  <si>
    <t>1.4</t>
  </si>
  <si>
    <t>Actividades de gestión de UP completadas</t>
  </si>
  <si>
    <t>2</t>
  </si>
  <si>
    <t>Iniciación/Planificación</t>
  </si>
  <si>
    <t>2.1</t>
  </si>
  <si>
    <t>Estudio de factibilidad</t>
  </si>
  <si>
    <t>2.2</t>
  </si>
  <si>
    <t>Caso de negocios</t>
  </si>
  <si>
    <t>2.3</t>
  </si>
  <si>
    <t>Planificación de proyectos</t>
  </si>
  <si>
    <t>2.4</t>
  </si>
  <si>
    <t>Iniciación/Actividades de planificación completadas</t>
  </si>
  <si>
    <t>3</t>
  </si>
  <si>
    <t>Análisis de requerimientos</t>
  </si>
  <si>
    <t>3.1</t>
  </si>
  <si>
    <t>Recopilación de requisitos</t>
  </si>
  <si>
    <t>3.2</t>
  </si>
  <si>
    <t>Planificación de seguridad</t>
  </si>
  <si>
    <t>3.3</t>
  </si>
  <si>
    <t>Análisis de requisitos completado</t>
  </si>
  <si>
    <t>4</t>
  </si>
  <si>
    <t>Diseño</t>
  </si>
  <si>
    <t>4.1</t>
  </si>
  <si>
    <t>Diseño de alto nivel</t>
  </si>
  <si>
    <t>4.2</t>
  </si>
  <si>
    <t>Prueba de concepto</t>
  </si>
  <si>
    <t>4.3</t>
  </si>
  <si>
    <t>Diseño detallado</t>
  </si>
  <si>
    <t>4.4</t>
  </si>
  <si>
    <t>Especificación técnica</t>
  </si>
  <si>
    <t>4.5</t>
  </si>
  <si>
    <t>Diseño completado</t>
  </si>
  <si>
    <t>5</t>
  </si>
  <si>
    <t>Desarrollo</t>
  </si>
  <si>
    <t>5.1</t>
  </si>
  <si>
    <t>Construir/Desarrollar</t>
  </si>
  <si>
    <t>5.2</t>
  </si>
  <si>
    <t>Planificación de integración</t>
  </si>
  <si>
    <t>5.3</t>
  </si>
  <si>
    <t>Documentación</t>
  </si>
  <si>
    <t>5.4</t>
  </si>
  <si>
    <t>Planificación de prueba</t>
  </si>
  <si>
    <t>5.5</t>
  </si>
  <si>
    <t>Planificación de implementación</t>
  </si>
  <si>
    <t>5.6</t>
  </si>
  <si>
    <t>Planificación de entrenamiento</t>
  </si>
  <si>
    <t>5.7</t>
  </si>
  <si>
    <t>Planificación de la Continuidad del Negocio</t>
  </si>
  <si>
    <t>5.8</t>
  </si>
  <si>
    <t>Planificación de transición</t>
  </si>
  <si>
    <t>5.9</t>
  </si>
  <si>
    <t>Desarrollo completado</t>
  </si>
  <si>
    <t>6</t>
  </si>
  <si>
    <t>Preguntas y Respuestas</t>
  </si>
  <si>
    <t>6.1</t>
  </si>
  <si>
    <t>Prueba de unidad</t>
  </si>
  <si>
    <t>6.2</t>
  </si>
  <si>
    <t>Prueba de funcionamiento</t>
  </si>
  <si>
    <t>6.3</t>
  </si>
  <si>
    <t>Examen de integración</t>
  </si>
  <si>
    <t>6.4</t>
  </si>
  <si>
    <t>Prueba de regresión</t>
  </si>
  <si>
    <t>6.5</t>
  </si>
  <si>
    <t>Prueba del sistema</t>
  </si>
  <si>
    <t>6.6</t>
  </si>
  <si>
    <t>Prueba de aceptación del usuario</t>
  </si>
  <si>
    <t>6.7</t>
  </si>
  <si>
    <t>Prueba completada</t>
  </si>
  <si>
    <t>7</t>
  </si>
  <si>
    <t>Implementación</t>
  </si>
  <si>
    <t>7.1</t>
  </si>
  <si>
    <t>Despliegue</t>
  </si>
  <si>
    <t>7.2</t>
  </si>
  <si>
    <t>Formación</t>
  </si>
  <si>
    <t>7.3</t>
  </si>
  <si>
    <t>Soporte</t>
  </si>
  <si>
    <t>7.4</t>
  </si>
  <si>
    <t>Desarrollo/Implementación completada</t>
  </si>
  <si>
    <t>8</t>
  </si>
  <si>
    <t>Operaciones y mantenimiento</t>
  </si>
  <si>
    <t>8.1</t>
  </si>
  <si>
    <t>Actividades de operaciones</t>
  </si>
  <si>
    <t>8.2</t>
  </si>
  <si>
    <t>Actividades de mantenimiento</t>
  </si>
  <si>
    <t>8.3</t>
  </si>
  <si>
    <t>Operaciones y mantenimiento completado</t>
  </si>
  <si>
    <t>9</t>
  </si>
  <si>
    <t>Disposición</t>
  </si>
  <si>
    <t>9.1</t>
  </si>
  <si>
    <t>Archivo</t>
  </si>
  <si>
    <t>9.2</t>
  </si>
  <si>
    <t>9.3</t>
  </si>
  <si>
    <t>Proyecto completado</t>
  </si>
  <si>
    <t xml:space="preserve">  Este documento fue creado usando el servicio en línea https://ganttpro.com</t>
  </si>
  <si>
    <t xml:space="preserve">  Puede usarlo libremente para sus propios fines sin restricciones. Para editar, cree una copia del documento o use https://ganttpro.com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</si>
</sst>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sz val="11.0"/>
      <color theme="1"/>
      <name val="Calibri"/>
    </font>
    <font/>
    <font>
      <u/>
      <sz val="11.0"/>
      <color rgb="FFFFFFFF"/>
      <name val="Calibri"/>
    </font>
    <font>
      <sz val="11.0"/>
      <color rgb="FFFFFFFF"/>
      <name val="Calibri"/>
    </font>
    <font>
      <b/>
      <sz val="9.0"/>
      <color rgb="FFFFFFFF"/>
      <name val="Calibri"/>
    </font>
    <font>
      <b/>
      <sz val="9.0"/>
      <color rgb="FF222222"/>
      <name val="Calibri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rgb="FF888888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564C"/>
        <bgColor rgb="FF00564C"/>
      </patternFill>
    </fill>
    <fill>
      <patternFill patternType="solid">
        <fgColor rgb="FF1A7367"/>
        <bgColor rgb="FF1A7367"/>
      </patternFill>
    </fill>
    <fill>
      <patternFill patternType="solid">
        <fgColor rgb="FFDAFFF0"/>
        <bgColor rgb="FFDAFFF0"/>
      </patternFill>
    </fill>
    <fill>
      <patternFill patternType="solid">
        <fgColor rgb="FF9575CD"/>
        <bgColor rgb="FF9575CD"/>
      </patternFill>
    </fill>
    <fill>
      <patternFill patternType="solid">
        <fgColor rgb="FFFFAB91"/>
        <bgColor rgb="FFFFAB91"/>
      </patternFill>
    </fill>
    <fill>
      <patternFill patternType="solid">
        <fgColor rgb="FFD860BB"/>
        <bgColor rgb="FFD860BB"/>
      </patternFill>
    </fill>
    <fill>
      <patternFill patternType="solid">
        <fgColor rgb="FFF9D06B"/>
        <bgColor rgb="FFF9D06B"/>
      </patternFill>
    </fill>
  </fills>
  <borders count="14">
    <border/>
    <border>
      <left/>
      <top/>
    </border>
    <border>
      <top/>
    </border>
    <border>
      <right/>
      <top/>
    </border>
    <border>
      <left/>
      <right/>
      <top/>
      <bottom/>
    </border>
    <border>
      <left/>
    </border>
    <border>
      <right/>
    </border>
    <border>
      <left/>
      <top/>
      <bottom/>
    </border>
    <border>
      <top/>
      <bottom/>
    </border>
    <border>
      <right/>
      <top/>
      <bottom/>
    </border>
    <border>
      <left/>
      <bottom/>
    </border>
    <border>
      <bottom/>
    </border>
    <border>
      <right/>
      <bottom/>
    </border>
    <border>
      <left/>
      <right style="thin">
        <color rgb="FFC1E3D5"/>
      </right>
      <top/>
      <bottom style="thin">
        <color rgb="FFC1E3D5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right" readingOrder="0" vertical="center"/>
    </xf>
    <xf borderId="8" fillId="2" fontId="4" numFmtId="0" xfId="0" applyAlignment="1" applyBorder="1" applyFont="1">
      <alignment horizontal="right" vertical="center"/>
    </xf>
    <xf borderId="9" fillId="2" fontId="4" numFmtId="0" xfId="0" applyAlignment="1" applyBorder="1" applyFont="1">
      <alignment horizontal="right"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7" fillId="3" fontId="5" numFmtId="0" xfId="0" applyAlignment="1" applyBorder="1" applyFill="1" applyFont="1">
      <alignment vertical="center"/>
    </xf>
    <xf borderId="8" fillId="0" fontId="2" numFmtId="0" xfId="0" applyBorder="1" applyFont="1"/>
    <xf borderId="9" fillId="0" fontId="2" numFmtId="0" xfId="0" applyBorder="1" applyFont="1"/>
    <xf borderId="7" fillId="3" fontId="5" numFmtId="164" xfId="0" applyAlignment="1" applyBorder="1" applyFont="1" applyNumberFormat="1">
      <alignment vertical="center"/>
    </xf>
    <xf borderId="13" fillId="4" fontId="6" numFmtId="0" xfId="0" applyAlignment="1" applyBorder="1" applyFill="1" applyFont="1">
      <alignment horizontal="left" vertical="center"/>
    </xf>
    <xf borderId="4" fillId="5" fontId="7" numFmtId="0" xfId="0" applyBorder="1" applyFill="1" applyFont="1"/>
    <xf borderId="0" fillId="0" fontId="7" numFmtId="0" xfId="0" applyFont="1"/>
    <xf borderId="0" fillId="0" fontId="7" numFmtId="164" xfId="0" applyFont="1" applyNumberFormat="1"/>
    <xf borderId="0" fillId="0" fontId="7" numFmtId="0" xfId="0" applyAlignment="1" applyFont="1">
      <alignment readingOrder="0"/>
    </xf>
    <xf borderId="4" fillId="6" fontId="1" numFmtId="0" xfId="0" applyBorder="1" applyFill="1" applyFont="1"/>
    <xf borderId="0" fillId="0" fontId="8" numFmtId="0" xfId="0" applyFont="1"/>
    <xf borderId="0" fillId="0" fontId="1" numFmtId="164" xfId="0" applyFont="1" applyNumberFormat="1"/>
    <xf borderId="4" fillId="7" fontId="1" numFmtId="0" xfId="0" applyBorder="1" applyFill="1" applyFont="1"/>
    <xf borderId="4" fillId="8" fontId="1" numFmtId="0" xfId="0" applyBorder="1" applyFill="1" applyFont="1"/>
    <xf borderId="0" fillId="0" fontId="8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8600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anttpro.com/?utm_source=excel_generated_header_text&amp;title=Software%20Development%20Plan_(GanttPRO.com)_11%2006%202020%2016%2032" TargetMode="External"/><Relationship Id="rId2" Type="http://schemas.openxmlformats.org/officeDocument/2006/relationships/hyperlink" Target="https://ganttpro.com/?utm_source=excel_generated_footer_text_1&amp;title=Software%20Development%20Plan_(GanttPRO.com)_11%2006%202020%2016%2032" TargetMode="External"/><Relationship Id="rId3" Type="http://schemas.openxmlformats.org/officeDocument/2006/relationships/hyperlink" Target="https://ganttpro.com/?utm_source=excel_generated_footer_text_2&amp;title=Software%20Development%20Plan_(GanttPRO.com)_11%2006%202020%2016%2032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1.0"/>
    <col customWidth="1" min="3" max="3" width="3.0"/>
    <col customWidth="1" min="4" max="4" width="30.0"/>
    <col customWidth="1" min="5" max="7" width="11.0"/>
    <col customWidth="1" min="8" max="12" width="8.86"/>
    <col customWidth="1" min="13" max="15" width="11.0"/>
    <col customWidth="1" min="16" max="26" width="8.86"/>
  </cols>
  <sheetData>
    <row r="1" ht="14.25" customHeight="1">
      <c r="A1" s="1"/>
      <c r="B1" s="2"/>
      <c r="C1" s="2"/>
      <c r="D1" s="2"/>
      <c r="E1" s="2"/>
      <c r="F1" s="2"/>
      <c r="G1" s="3"/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  <c r="N1" s="4" t="s">
        <v>0</v>
      </c>
      <c r="O1" s="4" t="s">
        <v>0</v>
      </c>
      <c r="P1" s="4" t="s">
        <v>0</v>
      </c>
      <c r="Q1" s="4" t="s">
        <v>0</v>
      </c>
    </row>
    <row r="2" ht="14.25" customHeight="1">
      <c r="A2" s="5"/>
      <c r="G2" s="6"/>
      <c r="H2" s="7" t="s">
        <v>1</v>
      </c>
      <c r="I2" s="8"/>
      <c r="J2" s="8"/>
      <c r="K2" s="8"/>
      <c r="L2" s="8"/>
      <c r="M2" s="8"/>
      <c r="N2" s="8"/>
      <c r="O2" s="8"/>
      <c r="P2" s="4" t="s">
        <v>0</v>
      </c>
      <c r="Q2" s="9"/>
    </row>
    <row r="3" ht="14.25" customHeight="1">
      <c r="A3" s="10"/>
      <c r="B3" s="11"/>
      <c r="C3" s="11"/>
      <c r="D3" s="11"/>
      <c r="E3" s="11"/>
      <c r="F3" s="11"/>
      <c r="G3" s="12"/>
      <c r="H3" s="4" t="s">
        <v>0</v>
      </c>
      <c r="I3" s="4" t="s">
        <v>0</v>
      </c>
      <c r="J3" s="4" t="s">
        <v>0</v>
      </c>
      <c r="K3" s="4" t="s">
        <v>0</v>
      </c>
      <c r="L3" s="4" t="s">
        <v>0</v>
      </c>
      <c r="M3" s="4" t="s">
        <v>0</v>
      </c>
      <c r="N3" s="4" t="s">
        <v>0</v>
      </c>
      <c r="O3" s="4" t="s">
        <v>0</v>
      </c>
      <c r="P3" s="4" t="s">
        <v>0</v>
      </c>
      <c r="Q3" s="4" t="s">
        <v>0</v>
      </c>
    </row>
    <row r="4" ht="14.25" customHeight="1">
      <c r="A4" s="13" t="s">
        <v>2</v>
      </c>
      <c r="B4" s="14"/>
      <c r="C4" s="14"/>
      <c r="D4" s="14"/>
      <c r="E4" s="14"/>
      <c r="F4" s="14"/>
      <c r="G4" s="14"/>
      <c r="H4" s="15"/>
      <c r="I4" s="16">
        <f>TODAY()</f>
        <v>46118</v>
      </c>
      <c r="J4" s="14"/>
      <c r="K4" s="14"/>
      <c r="L4" s="14"/>
      <c r="M4" s="14"/>
      <c r="N4" s="14"/>
      <c r="O4" s="14"/>
      <c r="P4" s="14"/>
      <c r="Q4" s="15"/>
    </row>
    <row r="5" ht="14.25" customHeight="1">
      <c r="A5" s="17" t="s">
        <v>3</v>
      </c>
      <c r="B5" s="17" t="s">
        <v>4</v>
      </c>
      <c r="C5" s="17" t="s">
        <v>0</v>
      </c>
      <c r="D5" s="17" t="s">
        <v>5</v>
      </c>
      <c r="E5" s="17" t="s">
        <v>6</v>
      </c>
      <c r="F5" s="17" t="s">
        <v>7</v>
      </c>
      <c r="G5" s="17" t="s">
        <v>8</v>
      </c>
      <c r="H5" s="17" t="s">
        <v>9</v>
      </c>
      <c r="I5" s="17" t="s">
        <v>10</v>
      </c>
      <c r="J5" s="17" t="s">
        <v>11</v>
      </c>
      <c r="K5" s="17" t="s">
        <v>12</v>
      </c>
      <c r="L5" s="17" t="s">
        <v>13</v>
      </c>
      <c r="M5" s="17" t="s">
        <v>14</v>
      </c>
      <c r="N5" s="17" t="s">
        <v>15</v>
      </c>
      <c r="O5" s="17" t="s">
        <v>16</v>
      </c>
      <c r="P5" s="17" t="s">
        <v>17</v>
      </c>
      <c r="Q5" s="17" t="s">
        <v>18</v>
      </c>
    </row>
    <row r="6" ht="14.25" customHeight="1">
      <c r="A6" s="18" t="s">
        <v>0</v>
      </c>
      <c r="B6" s="19" t="s">
        <v>19</v>
      </c>
      <c r="C6" s="19" t="s">
        <v>20</v>
      </c>
      <c r="E6" s="19" t="s">
        <v>0</v>
      </c>
      <c r="F6" s="20">
        <f t="shared" ref="F6:F7" si="1">TODAY()+1</f>
        <v>46119</v>
      </c>
      <c r="G6" s="20">
        <f>TODAY()+2</f>
        <v>46120</v>
      </c>
      <c r="H6" s="19" t="s">
        <v>0</v>
      </c>
      <c r="I6" s="19">
        <v>0.0</v>
      </c>
      <c r="J6" s="19">
        <v>16.0</v>
      </c>
      <c r="K6" s="19">
        <v>0.0</v>
      </c>
      <c r="L6" s="19">
        <v>0.0</v>
      </c>
      <c r="M6" s="19" t="s">
        <v>0</v>
      </c>
      <c r="N6" s="19" t="s">
        <v>0</v>
      </c>
      <c r="O6" s="19" t="s">
        <v>0</v>
      </c>
      <c r="P6" s="19">
        <v>0.0</v>
      </c>
      <c r="Q6" s="21">
        <v>0.0</v>
      </c>
    </row>
    <row r="7" ht="14.25" customHeight="1">
      <c r="A7" s="22" t="s">
        <v>0</v>
      </c>
      <c r="B7" s="23" t="s">
        <v>21</v>
      </c>
      <c r="C7" s="23" t="s">
        <v>0</v>
      </c>
      <c r="D7" s="23" t="s">
        <v>22</v>
      </c>
      <c r="E7" s="23" t="s">
        <v>0</v>
      </c>
      <c r="F7" s="24">
        <f t="shared" si="1"/>
        <v>46119</v>
      </c>
      <c r="G7" s="24">
        <f>TODAY()+1</f>
        <v>46119</v>
      </c>
      <c r="H7" s="23" t="s">
        <v>0</v>
      </c>
      <c r="I7" s="23">
        <v>0.0</v>
      </c>
      <c r="J7" s="23">
        <v>8.0</v>
      </c>
      <c r="K7" s="23">
        <v>0.0</v>
      </c>
      <c r="L7" s="23">
        <v>0.0</v>
      </c>
      <c r="M7" s="23" t="s">
        <v>23</v>
      </c>
      <c r="N7" s="23" t="s">
        <v>24</v>
      </c>
      <c r="O7" s="23" t="s">
        <v>0</v>
      </c>
      <c r="P7" s="23">
        <v>0.0</v>
      </c>
      <c r="Q7" s="23">
        <v>0.0</v>
      </c>
    </row>
    <row r="8" ht="14.25" customHeight="1">
      <c r="A8" s="22" t="s">
        <v>0</v>
      </c>
      <c r="B8" s="23" t="s">
        <v>25</v>
      </c>
      <c r="C8" s="23" t="s">
        <v>0</v>
      </c>
      <c r="D8" s="23" t="s">
        <v>26</v>
      </c>
      <c r="E8" s="23" t="s">
        <v>0</v>
      </c>
      <c r="F8" s="24">
        <f t="shared" ref="F8:G8" si="2">TODAY()+2</f>
        <v>46120</v>
      </c>
      <c r="G8" s="24">
        <f t="shared" si="2"/>
        <v>46120</v>
      </c>
      <c r="H8" s="23" t="s">
        <v>0</v>
      </c>
      <c r="I8" s="23">
        <v>0.0</v>
      </c>
      <c r="J8" s="23">
        <v>8.0</v>
      </c>
      <c r="K8" s="23">
        <v>0.0</v>
      </c>
      <c r="L8" s="23">
        <v>0.0</v>
      </c>
      <c r="M8" s="23" t="s">
        <v>23</v>
      </c>
      <c r="N8" s="23" t="s">
        <v>24</v>
      </c>
      <c r="O8" s="23" t="s">
        <v>0</v>
      </c>
      <c r="P8" s="23">
        <v>0.0</v>
      </c>
      <c r="Q8" s="23">
        <v>0.0</v>
      </c>
    </row>
    <row r="9" ht="14.25" customHeight="1">
      <c r="A9" s="22" t="s">
        <v>0</v>
      </c>
      <c r="B9" s="23" t="s">
        <v>27</v>
      </c>
      <c r="C9" s="23" t="s">
        <v>0</v>
      </c>
      <c r="D9" s="23" t="s">
        <v>28</v>
      </c>
      <c r="E9" s="23" t="s">
        <v>0</v>
      </c>
      <c r="F9" s="24">
        <f t="shared" ref="F9:G9" si="3">TODAY()+1</f>
        <v>46119</v>
      </c>
      <c r="G9" s="24">
        <f t="shared" si="3"/>
        <v>46119</v>
      </c>
      <c r="H9" s="23" t="s">
        <v>0</v>
      </c>
      <c r="I9" s="23">
        <v>0.0</v>
      </c>
      <c r="J9" s="23">
        <v>8.0</v>
      </c>
      <c r="K9" s="23">
        <v>0.0</v>
      </c>
      <c r="L9" s="23">
        <v>0.0</v>
      </c>
      <c r="M9" s="23" t="s">
        <v>23</v>
      </c>
      <c r="N9" s="23" t="s">
        <v>24</v>
      </c>
      <c r="O9" s="23" t="s">
        <v>0</v>
      </c>
      <c r="P9" s="23">
        <v>0.0</v>
      </c>
      <c r="Q9" s="23">
        <v>0.0</v>
      </c>
    </row>
    <row r="10" ht="14.25" customHeight="1">
      <c r="A10" s="25" t="s">
        <v>0</v>
      </c>
      <c r="B10" s="23" t="s">
        <v>29</v>
      </c>
      <c r="C10" s="23" t="s">
        <v>0</v>
      </c>
      <c r="D10" s="23" t="s">
        <v>30</v>
      </c>
      <c r="E10" s="23" t="s">
        <v>0</v>
      </c>
      <c r="F10" s="24">
        <f t="shared" ref="F10:G10" si="4">TODAY()+2</f>
        <v>46120</v>
      </c>
      <c r="G10" s="24">
        <f t="shared" si="4"/>
        <v>46120</v>
      </c>
      <c r="H10" s="23" t="s">
        <v>0</v>
      </c>
      <c r="I10" s="23">
        <v>0.0</v>
      </c>
      <c r="J10" s="23">
        <v>0.0</v>
      </c>
      <c r="K10" s="23">
        <v>0.0</v>
      </c>
      <c r="L10" s="23">
        <v>0.0</v>
      </c>
      <c r="M10" s="23" t="s">
        <v>23</v>
      </c>
      <c r="N10" s="23" t="s">
        <v>24</v>
      </c>
      <c r="O10" s="23" t="s">
        <v>0</v>
      </c>
      <c r="P10" s="23">
        <v>0.0</v>
      </c>
      <c r="Q10" s="23">
        <v>0.0</v>
      </c>
    </row>
    <row r="11" ht="14.25" customHeight="1">
      <c r="A11" s="18" t="s">
        <v>0</v>
      </c>
      <c r="B11" s="19" t="s">
        <v>31</v>
      </c>
      <c r="C11" s="19" t="s">
        <v>32</v>
      </c>
      <c r="E11" s="19" t="s">
        <v>0</v>
      </c>
      <c r="F11" s="20">
        <f t="shared" ref="F11:F12" si="5">TODAY()+1</f>
        <v>46119</v>
      </c>
      <c r="G11" s="20">
        <f>TODAY()+4</f>
        <v>46122</v>
      </c>
      <c r="H11" s="19" t="s">
        <v>0</v>
      </c>
      <c r="I11" s="19">
        <v>0.0</v>
      </c>
      <c r="J11" s="19">
        <v>24.0</v>
      </c>
      <c r="K11" s="19">
        <v>0.0</v>
      </c>
      <c r="L11" s="19">
        <v>0.0</v>
      </c>
      <c r="M11" s="19" t="s">
        <v>0</v>
      </c>
      <c r="N11" s="19" t="s">
        <v>0</v>
      </c>
      <c r="O11" s="19" t="s">
        <v>0</v>
      </c>
      <c r="P11" s="19">
        <v>0.0</v>
      </c>
      <c r="Q11" s="19">
        <v>0.0</v>
      </c>
    </row>
    <row r="12" ht="14.25" customHeight="1">
      <c r="A12" s="26" t="s">
        <v>0</v>
      </c>
      <c r="B12" s="23" t="s">
        <v>33</v>
      </c>
      <c r="C12" s="23" t="s">
        <v>0</v>
      </c>
      <c r="D12" s="23" t="s">
        <v>34</v>
      </c>
      <c r="E12" s="23" t="s">
        <v>0</v>
      </c>
      <c r="F12" s="24">
        <f t="shared" si="5"/>
        <v>46119</v>
      </c>
      <c r="G12" s="24">
        <f>TODAY()+1</f>
        <v>46119</v>
      </c>
      <c r="H12" s="23" t="s">
        <v>0</v>
      </c>
      <c r="I12" s="23">
        <v>0.0</v>
      </c>
      <c r="J12" s="23">
        <v>8.0</v>
      </c>
      <c r="K12" s="23">
        <v>0.0</v>
      </c>
      <c r="L12" s="23">
        <v>0.0</v>
      </c>
      <c r="M12" s="23" t="s">
        <v>23</v>
      </c>
      <c r="N12" s="23" t="s">
        <v>24</v>
      </c>
      <c r="O12" s="23" t="s">
        <v>0</v>
      </c>
      <c r="P12" s="23">
        <v>0.0</v>
      </c>
      <c r="Q12" s="23">
        <v>0.0</v>
      </c>
    </row>
    <row r="13" ht="14.25" customHeight="1">
      <c r="A13" s="26" t="s">
        <v>0</v>
      </c>
      <c r="B13" s="23" t="s">
        <v>35</v>
      </c>
      <c r="C13" s="23" t="s">
        <v>0</v>
      </c>
      <c r="D13" s="23" t="s">
        <v>36</v>
      </c>
      <c r="E13" s="23" t="s">
        <v>0</v>
      </c>
      <c r="F13" s="24">
        <f t="shared" ref="F13:G13" si="6">TODAY()+2</f>
        <v>46120</v>
      </c>
      <c r="G13" s="24">
        <f t="shared" si="6"/>
        <v>46120</v>
      </c>
      <c r="H13" s="23" t="s">
        <v>0</v>
      </c>
      <c r="I13" s="23">
        <v>0.0</v>
      </c>
      <c r="J13" s="23">
        <v>8.0</v>
      </c>
      <c r="K13" s="23">
        <v>0.0</v>
      </c>
      <c r="L13" s="23">
        <v>0.0</v>
      </c>
      <c r="M13" s="23" t="s">
        <v>23</v>
      </c>
      <c r="N13" s="23" t="s">
        <v>24</v>
      </c>
      <c r="O13" s="23" t="s">
        <v>0</v>
      </c>
      <c r="P13" s="23">
        <v>0.0</v>
      </c>
      <c r="Q13" s="23">
        <v>0.0</v>
      </c>
    </row>
    <row r="14" ht="14.25" customHeight="1">
      <c r="A14" s="26" t="s">
        <v>0</v>
      </c>
      <c r="B14" s="23" t="s">
        <v>37</v>
      </c>
      <c r="C14" s="23" t="s">
        <v>0</v>
      </c>
      <c r="D14" s="23" t="s">
        <v>38</v>
      </c>
      <c r="E14" s="23" t="s">
        <v>0</v>
      </c>
      <c r="F14" s="24">
        <f t="shared" ref="F14:G14" si="7">TODAY()+3</f>
        <v>46121</v>
      </c>
      <c r="G14" s="24">
        <f t="shared" si="7"/>
        <v>46121</v>
      </c>
      <c r="H14" s="23" t="s">
        <v>0</v>
      </c>
      <c r="I14" s="23">
        <v>0.0</v>
      </c>
      <c r="J14" s="23">
        <v>8.0</v>
      </c>
      <c r="K14" s="23">
        <v>0.0</v>
      </c>
      <c r="L14" s="23">
        <v>0.0</v>
      </c>
      <c r="M14" s="23" t="s">
        <v>23</v>
      </c>
      <c r="N14" s="23" t="s">
        <v>24</v>
      </c>
      <c r="O14" s="23" t="s">
        <v>0</v>
      </c>
      <c r="P14" s="23">
        <v>0.0</v>
      </c>
      <c r="Q14" s="23">
        <v>0.0</v>
      </c>
    </row>
    <row r="15" ht="14.25" customHeight="1">
      <c r="A15" s="25" t="s">
        <v>0</v>
      </c>
      <c r="B15" s="23" t="s">
        <v>39</v>
      </c>
      <c r="C15" s="23" t="s">
        <v>0</v>
      </c>
      <c r="D15" s="23" t="s">
        <v>40</v>
      </c>
      <c r="E15" s="23" t="s">
        <v>0</v>
      </c>
      <c r="F15" s="24">
        <f t="shared" ref="F15:G15" si="8">TODAY()+4</f>
        <v>46122</v>
      </c>
      <c r="G15" s="24">
        <f t="shared" si="8"/>
        <v>46122</v>
      </c>
      <c r="H15" s="23" t="s">
        <v>0</v>
      </c>
      <c r="I15" s="23">
        <v>0.0</v>
      </c>
      <c r="J15" s="23">
        <v>0.0</v>
      </c>
      <c r="K15" s="23">
        <v>0.0</v>
      </c>
      <c r="L15" s="23">
        <v>0.0</v>
      </c>
      <c r="M15" s="23" t="s">
        <v>23</v>
      </c>
      <c r="N15" s="23" t="s">
        <v>24</v>
      </c>
      <c r="O15" s="23" t="s">
        <v>0</v>
      </c>
      <c r="P15" s="23">
        <v>0.0</v>
      </c>
      <c r="Q15" s="23">
        <v>0.0</v>
      </c>
    </row>
    <row r="16" ht="14.25" customHeight="1">
      <c r="A16" s="18" t="s">
        <v>0</v>
      </c>
      <c r="B16" s="19" t="s">
        <v>41</v>
      </c>
      <c r="C16" s="19" t="s">
        <v>42</v>
      </c>
      <c r="E16" s="19" t="s">
        <v>0</v>
      </c>
      <c r="F16" s="20">
        <f t="shared" ref="F16:F17" si="9">TODAY()+4</f>
        <v>46122</v>
      </c>
      <c r="G16" s="20">
        <f>TODAY()+6</f>
        <v>46124</v>
      </c>
      <c r="H16" s="19" t="s">
        <v>0</v>
      </c>
      <c r="I16" s="19">
        <v>0.0</v>
      </c>
      <c r="J16" s="19">
        <v>16.0</v>
      </c>
      <c r="K16" s="19">
        <v>0.0</v>
      </c>
      <c r="L16" s="19">
        <v>0.0</v>
      </c>
      <c r="M16" s="19" t="s">
        <v>0</v>
      </c>
      <c r="N16" s="19" t="s">
        <v>0</v>
      </c>
      <c r="O16" s="19" t="s">
        <v>0</v>
      </c>
      <c r="P16" s="19">
        <v>0.0</v>
      </c>
      <c r="Q16" s="19">
        <v>0.0</v>
      </c>
    </row>
    <row r="17" ht="14.25" customHeight="1">
      <c r="A17" s="26" t="s">
        <v>0</v>
      </c>
      <c r="B17" s="23" t="s">
        <v>43</v>
      </c>
      <c r="C17" s="23" t="s">
        <v>0</v>
      </c>
      <c r="D17" s="23" t="s">
        <v>44</v>
      </c>
      <c r="E17" s="23" t="s">
        <v>0</v>
      </c>
      <c r="F17" s="24">
        <f t="shared" si="9"/>
        <v>46122</v>
      </c>
      <c r="G17" s="24">
        <f>TODAY()+4</f>
        <v>46122</v>
      </c>
      <c r="H17" s="23" t="s">
        <v>0</v>
      </c>
      <c r="I17" s="23">
        <v>0.0</v>
      </c>
      <c r="J17" s="23">
        <v>8.0</v>
      </c>
      <c r="K17" s="23">
        <v>0.0</v>
      </c>
      <c r="L17" s="23">
        <v>0.0</v>
      </c>
      <c r="M17" s="23" t="s">
        <v>23</v>
      </c>
      <c r="N17" s="23" t="s">
        <v>24</v>
      </c>
      <c r="O17" s="23" t="s">
        <v>0</v>
      </c>
      <c r="P17" s="23">
        <v>0.0</v>
      </c>
      <c r="Q17" s="23">
        <v>0.0</v>
      </c>
    </row>
    <row r="18" ht="14.25" customHeight="1">
      <c r="A18" s="26" t="s">
        <v>0</v>
      </c>
      <c r="B18" s="23" t="s">
        <v>45</v>
      </c>
      <c r="C18" s="23" t="s">
        <v>0</v>
      </c>
      <c r="D18" s="23" t="s">
        <v>46</v>
      </c>
      <c r="E18" s="23" t="s">
        <v>0</v>
      </c>
      <c r="F18" s="24">
        <f t="shared" ref="F18:G18" si="10">TODAY()+5</f>
        <v>46123</v>
      </c>
      <c r="G18" s="24">
        <f t="shared" si="10"/>
        <v>46123</v>
      </c>
      <c r="H18" s="23" t="s">
        <v>0</v>
      </c>
      <c r="I18" s="23">
        <v>0.0</v>
      </c>
      <c r="J18" s="23">
        <v>8.0</v>
      </c>
      <c r="K18" s="23">
        <v>0.0</v>
      </c>
      <c r="L18" s="23">
        <v>0.0</v>
      </c>
      <c r="M18" s="23" t="s">
        <v>23</v>
      </c>
      <c r="N18" s="23" t="s">
        <v>24</v>
      </c>
      <c r="O18" s="23" t="s">
        <v>0</v>
      </c>
      <c r="P18" s="23">
        <v>0.0</v>
      </c>
      <c r="Q18" s="23">
        <v>0.0</v>
      </c>
    </row>
    <row r="19" ht="14.25" customHeight="1">
      <c r="A19" s="25" t="s">
        <v>0</v>
      </c>
      <c r="B19" s="23" t="s">
        <v>47</v>
      </c>
      <c r="C19" s="23" t="s">
        <v>0</v>
      </c>
      <c r="D19" s="23" t="s">
        <v>48</v>
      </c>
      <c r="E19" s="23" t="s">
        <v>0</v>
      </c>
      <c r="F19" s="24">
        <f t="shared" ref="F19:G19" si="11">TODAY()+6</f>
        <v>46124</v>
      </c>
      <c r="G19" s="24">
        <f t="shared" si="11"/>
        <v>46124</v>
      </c>
      <c r="H19" s="23" t="s">
        <v>0</v>
      </c>
      <c r="I19" s="23">
        <v>0.0</v>
      </c>
      <c r="J19" s="23">
        <v>0.0</v>
      </c>
      <c r="K19" s="23">
        <v>0.0</v>
      </c>
      <c r="L19" s="23">
        <v>0.0</v>
      </c>
      <c r="M19" s="23" t="s">
        <v>23</v>
      </c>
      <c r="N19" s="23" t="s">
        <v>24</v>
      </c>
      <c r="O19" s="23" t="s">
        <v>0</v>
      </c>
      <c r="P19" s="23">
        <v>0.0</v>
      </c>
      <c r="Q19" s="23">
        <v>0.0</v>
      </c>
    </row>
    <row r="20" ht="14.25" customHeight="1">
      <c r="A20" s="18" t="s">
        <v>0</v>
      </c>
      <c r="B20" s="19" t="s">
        <v>49</v>
      </c>
      <c r="C20" s="19" t="s">
        <v>50</v>
      </c>
      <c r="E20" s="19" t="s">
        <v>0</v>
      </c>
      <c r="F20" s="20">
        <f t="shared" ref="F20:F21" si="12">TODAY()+6</f>
        <v>46124</v>
      </c>
      <c r="G20" s="20">
        <f>TODAY()+9</f>
        <v>46127</v>
      </c>
      <c r="H20" s="19" t="s">
        <v>0</v>
      </c>
      <c r="I20" s="19">
        <v>0.0</v>
      </c>
      <c r="J20" s="19">
        <v>32.0</v>
      </c>
      <c r="K20" s="19">
        <v>0.0</v>
      </c>
      <c r="L20" s="19">
        <v>0.0</v>
      </c>
      <c r="M20" s="19" t="s">
        <v>0</v>
      </c>
      <c r="N20" s="19" t="s">
        <v>0</v>
      </c>
      <c r="O20" s="19" t="s">
        <v>0</v>
      </c>
      <c r="P20" s="19">
        <v>0.0</v>
      </c>
      <c r="Q20" s="19">
        <v>0.0</v>
      </c>
    </row>
    <row r="21" ht="14.25" customHeight="1">
      <c r="A21" s="26" t="s">
        <v>0</v>
      </c>
      <c r="B21" s="23" t="s">
        <v>51</v>
      </c>
      <c r="C21" s="23" t="s">
        <v>0</v>
      </c>
      <c r="D21" s="23" t="s">
        <v>52</v>
      </c>
      <c r="E21" s="23" t="s">
        <v>0</v>
      </c>
      <c r="F21" s="24">
        <f t="shared" si="12"/>
        <v>46124</v>
      </c>
      <c r="G21" s="24">
        <f>TODAY()+6</f>
        <v>46124</v>
      </c>
      <c r="H21" s="23" t="s">
        <v>0</v>
      </c>
      <c r="I21" s="23">
        <v>0.0</v>
      </c>
      <c r="J21" s="23">
        <v>8.0</v>
      </c>
      <c r="K21" s="23">
        <v>0.0</v>
      </c>
      <c r="L21" s="23">
        <v>0.0</v>
      </c>
      <c r="M21" s="23" t="s">
        <v>23</v>
      </c>
      <c r="N21" s="23" t="s">
        <v>24</v>
      </c>
      <c r="O21" s="23" t="s">
        <v>0</v>
      </c>
      <c r="P21" s="23">
        <v>0.0</v>
      </c>
      <c r="Q21" s="23">
        <v>0.0</v>
      </c>
    </row>
    <row r="22" ht="14.25" customHeight="1">
      <c r="A22" s="26" t="s">
        <v>0</v>
      </c>
      <c r="B22" s="23" t="s">
        <v>53</v>
      </c>
      <c r="C22" s="23" t="s">
        <v>0</v>
      </c>
      <c r="D22" s="23" t="s">
        <v>54</v>
      </c>
      <c r="E22" s="23" t="s">
        <v>0</v>
      </c>
      <c r="F22" s="24">
        <f t="shared" ref="F22:G22" si="13">TODAY()+7</f>
        <v>46125</v>
      </c>
      <c r="G22" s="24">
        <f t="shared" si="13"/>
        <v>46125</v>
      </c>
      <c r="H22" s="23" t="s">
        <v>0</v>
      </c>
      <c r="I22" s="23">
        <v>0.0</v>
      </c>
      <c r="J22" s="23">
        <v>8.0</v>
      </c>
      <c r="K22" s="23">
        <v>0.0</v>
      </c>
      <c r="L22" s="23">
        <v>0.0</v>
      </c>
      <c r="M22" s="23" t="s">
        <v>23</v>
      </c>
      <c r="N22" s="23" t="s">
        <v>24</v>
      </c>
      <c r="O22" s="23" t="s">
        <v>0</v>
      </c>
      <c r="P22" s="23">
        <v>0.0</v>
      </c>
      <c r="Q22" s="23">
        <v>0.0</v>
      </c>
    </row>
    <row r="23" ht="14.25" customHeight="1">
      <c r="A23" s="26" t="s">
        <v>0</v>
      </c>
      <c r="B23" s="23" t="s">
        <v>55</v>
      </c>
      <c r="C23" s="23" t="s">
        <v>0</v>
      </c>
      <c r="D23" s="23" t="s">
        <v>56</v>
      </c>
      <c r="E23" s="23" t="s">
        <v>0</v>
      </c>
      <c r="F23" s="24">
        <f t="shared" ref="F23:G23" si="14">TODAY()+8</f>
        <v>46126</v>
      </c>
      <c r="G23" s="24">
        <f t="shared" si="14"/>
        <v>46126</v>
      </c>
      <c r="H23" s="23" t="s">
        <v>0</v>
      </c>
      <c r="I23" s="23">
        <v>0.0</v>
      </c>
      <c r="J23" s="23">
        <v>8.0</v>
      </c>
      <c r="K23" s="23">
        <v>0.0</v>
      </c>
      <c r="L23" s="23">
        <v>0.0</v>
      </c>
      <c r="M23" s="23" t="s">
        <v>23</v>
      </c>
      <c r="N23" s="23" t="s">
        <v>24</v>
      </c>
      <c r="O23" s="23" t="s">
        <v>0</v>
      </c>
      <c r="P23" s="23">
        <v>0.0</v>
      </c>
      <c r="Q23" s="23">
        <v>0.0</v>
      </c>
    </row>
    <row r="24" ht="14.25" customHeight="1">
      <c r="A24" s="26" t="s">
        <v>0</v>
      </c>
      <c r="B24" s="23" t="s">
        <v>57</v>
      </c>
      <c r="C24" s="23" t="s">
        <v>0</v>
      </c>
      <c r="D24" s="23" t="s">
        <v>58</v>
      </c>
      <c r="E24" s="23" t="s">
        <v>0</v>
      </c>
      <c r="F24" s="24">
        <f t="shared" ref="F24:G24" si="15">TODAY()+9</f>
        <v>46127</v>
      </c>
      <c r="G24" s="24">
        <f t="shared" si="15"/>
        <v>46127</v>
      </c>
      <c r="H24" s="23" t="s">
        <v>0</v>
      </c>
      <c r="I24" s="23">
        <v>0.0</v>
      </c>
      <c r="J24" s="23">
        <v>8.0</v>
      </c>
      <c r="K24" s="23">
        <v>0.0</v>
      </c>
      <c r="L24" s="23">
        <v>0.0</v>
      </c>
      <c r="M24" s="23" t="s">
        <v>23</v>
      </c>
      <c r="N24" s="23" t="s">
        <v>24</v>
      </c>
      <c r="O24" s="23" t="s">
        <v>0</v>
      </c>
      <c r="P24" s="23">
        <v>0.0</v>
      </c>
      <c r="Q24" s="23">
        <v>0.0</v>
      </c>
    </row>
    <row r="25" ht="14.25" customHeight="1">
      <c r="A25" s="25" t="s">
        <v>0</v>
      </c>
      <c r="B25" s="23" t="s">
        <v>59</v>
      </c>
      <c r="C25" s="23" t="s">
        <v>0</v>
      </c>
      <c r="D25" s="23" t="s">
        <v>60</v>
      </c>
      <c r="E25" s="23" t="s">
        <v>0</v>
      </c>
      <c r="F25" s="24">
        <f t="shared" ref="F25:G25" si="16">TODAY()+9</f>
        <v>46127</v>
      </c>
      <c r="G25" s="24">
        <f t="shared" si="16"/>
        <v>46127</v>
      </c>
      <c r="H25" s="23" t="s">
        <v>0</v>
      </c>
      <c r="I25" s="23">
        <v>0.0</v>
      </c>
      <c r="J25" s="23">
        <v>0.0</v>
      </c>
      <c r="K25" s="23">
        <v>0.0</v>
      </c>
      <c r="L25" s="23">
        <v>0.0</v>
      </c>
      <c r="M25" s="23" t="s">
        <v>23</v>
      </c>
      <c r="N25" s="23" t="s">
        <v>24</v>
      </c>
      <c r="O25" s="23" t="s">
        <v>0</v>
      </c>
      <c r="P25" s="23">
        <v>0.0</v>
      </c>
      <c r="Q25" s="23">
        <v>0.0</v>
      </c>
    </row>
    <row r="26" ht="14.25" customHeight="1">
      <c r="A26" s="18" t="s">
        <v>0</v>
      </c>
      <c r="B26" s="19" t="s">
        <v>61</v>
      </c>
      <c r="C26" s="19" t="s">
        <v>62</v>
      </c>
      <c r="E26" s="19" t="s">
        <v>0</v>
      </c>
      <c r="F26" s="20">
        <f t="shared" ref="F26:F27" si="17">TODAY()+10</f>
        <v>46128</v>
      </c>
      <c r="G26" s="20">
        <f>TODAY()+24</f>
        <v>46142</v>
      </c>
      <c r="H26" s="19" t="s">
        <v>0</v>
      </c>
      <c r="I26" s="19">
        <v>0.0</v>
      </c>
      <c r="J26" s="19">
        <v>120.0</v>
      </c>
      <c r="K26" s="19">
        <v>0.0</v>
      </c>
      <c r="L26" s="19">
        <v>0.0</v>
      </c>
      <c r="M26" s="19" t="s">
        <v>0</v>
      </c>
      <c r="N26" s="19" t="s">
        <v>0</v>
      </c>
      <c r="O26" s="19" t="s">
        <v>0</v>
      </c>
      <c r="P26" s="19">
        <v>0.0</v>
      </c>
      <c r="Q26" s="19">
        <v>0.0</v>
      </c>
    </row>
    <row r="27" ht="14.25" customHeight="1">
      <c r="A27" s="26" t="s">
        <v>0</v>
      </c>
      <c r="B27" s="23" t="s">
        <v>63</v>
      </c>
      <c r="C27" s="23" t="s">
        <v>0</v>
      </c>
      <c r="D27" s="23" t="s">
        <v>64</v>
      </c>
      <c r="E27" s="23" t="s">
        <v>0</v>
      </c>
      <c r="F27" s="24">
        <f t="shared" si="17"/>
        <v>46128</v>
      </c>
      <c r="G27" s="24">
        <f>TODAY()+11</f>
        <v>46129</v>
      </c>
      <c r="H27" s="23" t="s">
        <v>0</v>
      </c>
      <c r="I27" s="23">
        <v>0.0</v>
      </c>
      <c r="J27" s="23">
        <v>16.0</v>
      </c>
      <c r="K27" s="23">
        <v>0.0</v>
      </c>
      <c r="L27" s="23">
        <v>0.0</v>
      </c>
      <c r="M27" s="23" t="s">
        <v>23</v>
      </c>
      <c r="N27" s="23" t="s">
        <v>24</v>
      </c>
      <c r="O27" s="23" t="s">
        <v>0</v>
      </c>
      <c r="P27" s="23">
        <v>0.0</v>
      </c>
      <c r="Q27" s="23">
        <v>0.0</v>
      </c>
    </row>
    <row r="28" ht="14.25" customHeight="1">
      <c r="A28" s="26" t="s">
        <v>0</v>
      </c>
      <c r="B28" s="23" t="s">
        <v>65</v>
      </c>
      <c r="C28" s="23" t="s">
        <v>0</v>
      </c>
      <c r="D28" s="23" t="s">
        <v>66</v>
      </c>
      <c r="E28" s="23" t="s">
        <v>0</v>
      </c>
      <c r="F28" s="24">
        <f t="shared" ref="F28:G28" si="18">TODAY()+15</f>
        <v>46133</v>
      </c>
      <c r="G28" s="24">
        <f t="shared" si="18"/>
        <v>46133</v>
      </c>
      <c r="H28" s="23" t="s">
        <v>0</v>
      </c>
      <c r="I28" s="23">
        <v>0.0</v>
      </c>
      <c r="J28" s="23">
        <v>8.0</v>
      </c>
      <c r="K28" s="23">
        <v>0.0</v>
      </c>
      <c r="L28" s="23">
        <v>0.0</v>
      </c>
      <c r="M28" s="23" t="s">
        <v>23</v>
      </c>
      <c r="N28" s="23" t="s">
        <v>24</v>
      </c>
      <c r="O28" s="23" t="s">
        <v>0</v>
      </c>
      <c r="P28" s="23">
        <v>0.0</v>
      </c>
      <c r="Q28" s="23">
        <v>0.0</v>
      </c>
    </row>
    <row r="29" ht="14.25" customHeight="1">
      <c r="A29" s="26" t="s">
        <v>0</v>
      </c>
      <c r="B29" s="23" t="s">
        <v>67</v>
      </c>
      <c r="C29" s="23" t="s">
        <v>0</v>
      </c>
      <c r="D29" s="23" t="s">
        <v>68</v>
      </c>
      <c r="E29" s="23" t="s">
        <v>0</v>
      </c>
      <c r="F29" s="24">
        <f t="shared" ref="F29:G29" si="19">TODAY()+16</f>
        <v>46134</v>
      </c>
      <c r="G29" s="24">
        <f t="shared" si="19"/>
        <v>46134</v>
      </c>
      <c r="H29" s="23" t="s">
        <v>0</v>
      </c>
      <c r="I29" s="23">
        <v>0.0</v>
      </c>
      <c r="J29" s="23">
        <v>8.0</v>
      </c>
      <c r="K29" s="23">
        <v>0.0</v>
      </c>
      <c r="L29" s="23">
        <v>0.0</v>
      </c>
      <c r="M29" s="23" t="s">
        <v>23</v>
      </c>
      <c r="N29" s="23" t="s">
        <v>24</v>
      </c>
      <c r="O29" s="23" t="s">
        <v>0</v>
      </c>
      <c r="P29" s="23">
        <v>0.0</v>
      </c>
      <c r="Q29" s="23">
        <v>0.0</v>
      </c>
    </row>
    <row r="30" ht="14.25" customHeight="1">
      <c r="A30" s="26" t="s">
        <v>0</v>
      </c>
      <c r="B30" s="23" t="s">
        <v>69</v>
      </c>
      <c r="C30" s="23" t="s">
        <v>0</v>
      </c>
      <c r="D30" s="23" t="s">
        <v>70</v>
      </c>
      <c r="E30" s="23" t="s">
        <v>0</v>
      </c>
      <c r="F30" s="24">
        <f t="shared" ref="F30:G30" si="20">TODAY()+10</f>
        <v>46128</v>
      </c>
      <c r="G30" s="24">
        <f t="shared" si="20"/>
        <v>46128</v>
      </c>
      <c r="H30" s="23" t="s">
        <v>0</v>
      </c>
      <c r="I30" s="23">
        <v>0.0</v>
      </c>
      <c r="J30" s="23">
        <v>8.0</v>
      </c>
      <c r="K30" s="23">
        <v>0.0</v>
      </c>
      <c r="L30" s="23">
        <v>0.0</v>
      </c>
      <c r="M30" s="23" t="s">
        <v>23</v>
      </c>
      <c r="N30" s="23" t="s">
        <v>24</v>
      </c>
      <c r="O30" s="23" t="s">
        <v>0</v>
      </c>
      <c r="P30" s="23">
        <v>0.0</v>
      </c>
      <c r="Q30" s="23">
        <v>0.0</v>
      </c>
    </row>
    <row r="31" ht="14.25" customHeight="1">
      <c r="A31" s="26" t="s">
        <v>0</v>
      </c>
      <c r="B31" s="23" t="s">
        <v>71</v>
      </c>
      <c r="C31" s="23" t="s">
        <v>0</v>
      </c>
      <c r="D31" s="23" t="s">
        <v>72</v>
      </c>
      <c r="E31" s="23" t="s">
        <v>0</v>
      </c>
      <c r="F31" s="24">
        <f t="shared" ref="F31:G31" si="21">TODAY()+17</f>
        <v>46135</v>
      </c>
      <c r="G31" s="24">
        <f t="shared" si="21"/>
        <v>46135</v>
      </c>
      <c r="H31" s="23" t="s">
        <v>0</v>
      </c>
      <c r="I31" s="23">
        <v>0.0</v>
      </c>
      <c r="J31" s="23">
        <v>8.0</v>
      </c>
      <c r="K31" s="23">
        <v>0.0</v>
      </c>
      <c r="L31" s="23">
        <v>0.0</v>
      </c>
      <c r="M31" s="23" t="s">
        <v>23</v>
      </c>
      <c r="N31" s="23" t="s">
        <v>24</v>
      </c>
      <c r="O31" s="23" t="s">
        <v>0</v>
      </c>
      <c r="P31" s="23">
        <v>0.0</v>
      </c>
      <c r="Q31" s="23">
        <v>0.0</v>
      </c>
    </row>
    <row r="32" ht="14.25" customHeight="1">
      <c r="A32" s="26" t="s">
        <v>0</v>
      </c>
      <c r="B32" s="23" t="s">
        <v>73</v>
      </c>
      <c r="C32" s="23" t="s">
        <v>0</v>
      </c>
      <c r="D32" s="23" t="s">
        <v>74</v>
      </c>
      <c r="E32" s="23" t="s">
        <v>0</v>
      </c>
      <c r="F32" s="24">
        <f>TODAY()+20</f>
        <v>46138</v>
      </c>
      <c r="G32" s="24">
        <f>TODAY()+22</f>
        <v>46140</v>
      </c>
      <c r="H32" s="23" t="s">
        <v>0</v>
      </c>
      <c r="I32" s="23">
        <v>0.0</v>
      </c>
      <c r="J32" s="23">
        <v>24.0</v>
      </c>
      <c r="K32" s="23">
        <v>0.0</v>
      </c>
      <c r="L32" s="23">
        <v>0.0</v>
      </c>
      <c r="M32" s="23" t="s">
        <v>23</v>
      </c>
      <c r="N32" s="23" t="s">
        <v>24</v>
      </c>
      <c r="O32" s="23" t="s">
        <v>0</v>
      </c>
      <c r="P32" s="23">
        <v>0.0</v>
      </c>
      <c r="Q32" s="23">
        <v>0.0</v>
      </c>
    </row>
    <row r="33" ht="14.25" customHeight="1">
      <c r="A33" s="26" t="s">
        <v>0</v>
      </c>
      <c r="B33" s="23" t="s">
        <v>75</v>
      </c>
      <c r="C33" s="23" t="s">
        <v>0</v>
      </c>
      <c r="D33" s="23" t="s">
        <v>76</v>
      </c>
      <c r="E33" s="23" t="s">
        <v>0</v>
      </c>
      <c r="F33" s="24">
        <f t="shared" ref="F33:G33" si="22">TODAY()+23</f>
        <v>46141</v>
      </c>
      <c r="G33" s="24">
        <f t="shared" si="22"/>
        <v>46141</v>
      </c>
      <c r="H33" s="23" t="s">
        <v>0</v>
      </c>
      <c r="I33" s="23">
        <v>0.0</v>
      </c>
      <c r="J33" s="23">
        <v>8.0</v>
      </c>
      <c r="K33" s="23">
        <v>0.0</v>
      </c>
      <c r="L33" s="23">
        <v>0.0</v>
      </c>
      <c r="M33" s="23" t="s">
        <v>23</v>
      </c>
      <c r="N33" s="23" t="s">
        <v>24</v>
      </c>
      <c r="O33" s="23" t="s">
        <v>0</v>
      </c>
      <c r="P33" s="23">
        <v>0.0</v>
      </c>
      <c r="Q33" s="23">
        <v>0.0</v>
      </c>
    </row>
    <row r="34" ht="14.25" customHeight="1">
      <c r="A34" s="26" t="s">
        <v>0</v>
      </c>
      <c r="B34" s="23" t="s">
        <v>77</v>
      </c>
      <c r="C34" s="23" t="s">
        <v>0</v>
      </c>
      <c r="D34" s="23" t="s">
        <v>78</v>
      </c>
      <c r="E34" s="23" t="s">
        <v>0</v>
      </c>
      <c r="F34" s="24">
        <f t="shared" ref="F34:G34" si="23">TODAY()+24</f>
        <v>46142</v>
      </c>
      <c r="G34" s="24">
        <f t="shared" si="23"/>
        <v>46142</v>
      </c>
      <c r="H34" s="23" t="s">
        <v>0</v>
      </c>
      <c r="I34" s="23">
        <v>0.0</v>
      </c>
      <c r="J34" s="23">
        <v>8.0</v>
      </c>
      <c r="K34" s="23">
        <v>0.0</v>
      </c>
      <c r="L34" s="23">
        <v>0.0</v>
      </c>
      <c r="M34" s="23" t="s">
        <v>23</v>
      </c>
      <c r="N34" s="23" t="s">
        <v>24</v>
      </c>
      <c r="O34" s="23" t="s">
        <v>0</v>
      </c>
      <c r="P34" s="23">
        <v>0.0</v>
      </c>
      <c r="Q34" s="23">
        <v>0.0</v>
      </c>
    </row>
    <row r="35" ht="14.25" customHeight="1">
      <c r="A35" s="25" t="s">
        <v>0</v>
      </c>
      <c r="B35" s="23" t="s">
        <v>79</v>
      </c>
      <c r="C35" s="23" t="s">
        <v>0</v>
      </c>
      <c r="D35" s="23" t="s">
        <v>80</v>
      </c>
      <c r="E35" s="23" t="s">
        <v>0</v>
      </c>
      <c r="F35" s="24">
        <f t="shared" ref="F35:G35" si="24">TODAY()+24</f>
        <v>46142</v>
      </c>
      <c r="G35" s="24">
        <f t="shared" si="24"/>
        <v>46142</v>
      </c>
      <c r="H35" s="23" t="s">
        <v>0</v>
      </c>
      <c r="I35" s="23">
        <v>0.0</v>
      </c>
      <c r="J35" s="23">
        <v>0.0</v>
      </c>
      <c r="K35" s="23">
        <v>0.0</v>
      </c>
      <c r="L35" s="23">
        <v>0.0</v>
      </c>
      <c r="M35" s="23" t="s">
        <v>23</v>
      </c>
      <c r="N35" s="23" t="s">
        <v>24</v>
      </c>
      <c r="O35" s="23" t="s">
        <v>0</v>
      </c>
      <c r="P35" s="23">
        <v>0.0</v>
      </c>
      <c r="Q35" s="23">
        <v>0.0</v>
      </c>
    </row>
    <row r="36" ht="14.25" customHeight="1">
      <c r="A36" s="18" t="s">
        <v>0</v>
      </c>
      <c r="B36" s="19" t="s">
        <v>81</v>
      </c>
      <c r="C36" s="19" t="s">
        <v>82</v>
      </c>
      <c r="E36" s="19" t="s">
        <v>0</v>
      </c>
      <c r="F36" s="20">
        <f t="shared" ref="F36:F37" si="25">TODAY()+25</f>
        <v>46143</v>
      </c>
      <c r="G36" s="20">
        <f>TODAY()+35</f>
        <v>46153</v>
      </c>
      <c r="H36" s="19" t="s">
        <v>0</v>
      </c>
      <c r="I36" s="19">
        <v>0.0</v>
      </c>
      <c r="J36" s="19">
        <v>80.0</v>
      </c>
      <c r="K36" s="19">
        <v>0.0</v>
      </c>
      <c r="L36" s="19">
        <v>0.0</v>
      </c>
      <c r="M36" s="19" t="s">
        <v>0</v>
      </c>
      <c r="N36" s="19" t="s">
        <v>0</v>
      </c>
      <c r="O36" s="19" t="s">
        <v>0</v>
      </c>
      <c r="P36" s="19">
        <v>0.0</v>
      </c>
      <c r="Q36" s="19">
        <v>0.0</v>
      </c>
    </row>
    <row r="37" ht="14.25" customHeight="1">
      <c r="A37" s="26" t="s">
        <v>0</v>
      </c>
      <c r="B37" s="23" t="s">
        <v>83</v>
      </c>
      <c r="C37" s="23" t="s">
        <v>0</v>
      </c>
      <c r="D37" s="23" t="s">
        <v>84</v>
      </c>
      <c r="E37" s="23" t="s">
        <v>0</v>
      </c>
      <c r="F37" s="24">
        <f t="shared" si="25"/>
        <v>46143</v>
      </c>
      <c r="G37" s="24">
        <f>TODAY()+25</f>
        <v>46143</v>
      </c>
      <c r="H37" s="23" t="s">
        <v>0</v>
      </c>
      <c r="I37" s="23">
        <v>0.0</v>
      </c>
      <c r="J37" s="23">
        <v>8.0</v>
      </c>
      <c r="K37" s="23">
        <v>0.0</v>
      </c>
      <c r="L37" s="23">
        <v>0.0</v>
      </c>
      <c r="M37" s="23" t="s">
        <v>23</v>
      </c>
      <c r="N37" s="23" t="s">
        <v>24</v>
      </c>
      <c r="O37" s="23" t="s">
        <v>0</v>
      </c>
      <c r="P37" s="23">
        <v>0.0</v>
      </c>
      <c r="Q37" s="23">
        <v>0.0</v>
      </c>
    </row>
    <row r="38" ht="14.25" customHeight="1">
      <c r="A38" s="26" t="s">
        <v>0</v>
      </c>
      <c r="B38" s="23" t="s">
        <v>85</v>
      </c>
      <c r="C38" s="23" t="s">
        <v>0</v>
      </c>
      <c r="D38" s="23" t="s">
        <v>86</v>
      </c>
      <c r="E38" s="23" t="s">
        <v>0</v>
      </c>
      <c r="F38" s="24">
        <f t="shared" ref="F38:G38" si="26">TODAY()+26</f>
        <v>46144</v>
      </c>
      <c r="G38" s="24">
        <f t="shared" si="26"/>
        <v>46144</v>
      </c>
      <c r="H38" s="23" t="s">
        <v>0</v>
      </c>
      <c r="I38" s="23">
        <v>0.0</v>
      </c>
      <c r="J38" s="23">
        <v>8.0</v>
      </c>
      <c r="K38" s="23">
        <v>0.0</v>
      </c>
      <c r="L38" s="23">
        <v>0.0</v>
      </c>
      <c r="M38" s="23" t="s">
        <v>23</v>
      </c>
      <c r="N38" s="23" t="s">
        <v>24</v>
      </c>
      <c r="O38" s="23" t="s">
        <v>0</v>
      </c>
      <c r="P38" s="23">
        <v>0.0</v>
      </c>
      <c r="Q38" s="23">
        <v>0.0</v>
      </c>
    </row>
    <row r="39" ht="14.25" customHeight="1">
      <c r="A39" s="26" t="s">
        <v>0</v>
      </c>
      <c r="B39" s="23" t="s">
        <v>87</v>
      </c>
      <c r="C39" s="23" t="s">
        <v>0</v>
      </c>
      <c r="D39" s="23" t="s">
        <v>88</v>
      </c>
      <c r="E39" s="23" t="s">
        <v>0</v>
      </c>
      <c r="F39" s="24">
        <f>TODAY()+27</f>
        <v>46145</v>
      </c>
      <c r="G39" s="24">
        <f>TODAY()+29</f>
        <v>46147</v>
      </c>
      <c r="H39" s="23" t="s">
        <v>0</v>
      </c>
      <c r="I39" s="23">
        <v>0.0</v>
      </c>
      <c r="J39" s="23">
        <v>24.0</v>
      </c>
      <c r="K39" s="23">
        <v>0.0</v>
      </c>
      <c r="L39" s="23">
        <v>0.0</v>
      </c>
      <c r="M39" s="23" t="s">
        <v>23</v>
      </c>
      <c r="N39" s="23" t="s">
        <v>24</v>
      </c>
      <c r="O39" s="23" t="s">
        <v>0</v>
      </c>
      <c r="P39" s="23">
        <v>0.0</v>
      </c>
      <c r="Q39" s="23">
        <v>0.0</v>
      </c>
    </row>
    <row r="40" ht="14.25" customHeight="1">
      <c r="A40" s="26" t="s">
        <v>0</v>
      </c>
      <c r="B40" s="23" t="s">
        <v>89</v>
      </c>
      <c r="C40" s="23" t="s">
        <v>0</v>
      </c>
      <c r="D40" s="23" t="s">
        <v>90</v>
      </c>
      <c r="E40" s="23" t="s">
        <v>0</v>
      </c>
      <c r="F40" s="24">
        <f t="shared" ref="F40:G40" si="27">TODAY()+32</f>
        <v>46150</v>
      </c>
      <c r="G40" s="24">
        <f t="shared" si="27"/>
        <v>46150</v>
      </c>
      <c r="H40" s="23" t="s">
        <v>0</v>
      </c>
      <c r="I40" s="23">
        <v>0.0</v>
      </c>
      <c r="J40" s="23">
        <v>8.0</v>
      </c>
      <c r="K40" s="23">
        <v>0.0</v>
      </c>
      <c r="L40" s="23">
        <v>0.0</v>
      </c>
      <c r="M40" s="23" t="s">
        <v>23</v>
      </c>
      <c r="N40" s="23" t="s">
        <v>24</v>
      </c>
      <c r="O40" s="23" t="s">
        <v>0</v>
      </c>
      <c r="P40" s="23">
        <v>0.0</v>
      </c>
      <c r="Q40" s="23">
        <v>0.0</v>
      </c>
    </row>
    <row r="41" ht="14.25" customHeight="1">
      <c r="A41" s="26" t="s">
        <v>0</v>
      </c>
      <c r="B41" s="23" t="s">
        <v>91</v>
      </c>
      <c r="C41" s="23" t="s">
        <v>0</v>
      </c>
      <c r="D41" s="23" t="s">
        <v>92</v>
      </c>
      <c r="E41" s="23" t="s">
        <v>0</v>
      </c>
      <c r="F41" s="24">
        <f t="shared" ref="F41:G41" si="28">TODAY()+33</f>
        <v>46151</v>
      </c>
      <c r="G41" s="24">
        <f t="shared" si="28"/>
        <v>46151</v>
      </c>
      <c r="H41" s="23" t="s">
        <v>0</v>
      </c>
      <c r="I41" s="23">
        <v>0.0</v>
      </c>
      <c r="J41" s="23">
        <v>8.0</v>
      </c>
      <c r="K41" s="23">
        <v>0.0</v>
      </c>
      <c r="L41" s="23">
        <v>0.0</v>
      </c>
      <c r="M41" s="23" t="s">
        <v>23</v>
      </c>
      <c r="N41" s="23" t="s">
        <v>24</v>
      </c>
      <c r="O41" s="23" t="s">
        <v>0</v>
      </c>
      <c r="P41" s="23">
        <v>0.0</v>
      </c>
      <c r="Q41" s="23">
        <v>0.0</v>
      </c>
    </row>
    <row r="42" ht="14.25" customHeight="1">
      <c r="A42" s="26" t="s">
        <v>0</v>
      </c>
      <c r="B42" s="23" t="s">
        <v>93</v>
      </c>
      <c r="C42" s="23" t="s">
        <v>0</v>
      </c>
      <c r="D42" s="23" t="s">
        <v>94</v>
      </c>
      <c r="E42" s="23" t="s">
        <v>0</v>
      </c>
      <c r="F42" s="24">
        <f t="shared" ref="F42:G42" si="29">TODAY()+34</f>
        <v>46152</v>
      </c>
      <c r="G42" s="24">
        <f t="shared" si="29"/>
        <v>46152</v>
      </c>
      <c r="H42" s="23" t="s">
        <v>0</v>
      </c>
      <c r="I42" s="23">
        <v>0.0</v>
      </c>
      <c r="J42" s="23">
        <v>8.0</v>
      </c>
      <c r="K42" s="23">
        <v>0.0</v>
      </c>
      <c r="L42" s="23">
        <v>0.0</v>
      </c>
      <c r="M42" s="23" t="s">
        <v>23</v>
      </c>
      <c r="N42" s="23" t="s">
        <v>24</v>
      </c>
      <c r="O42" s="23" t="s">
        <v>0</v>
      </c>
      <c r="P42" s="23">
        <v>0.0</v>
      </c>
      <c r="Q42" s="23">
        <v>0.0</v>
      </c>
    </row>
    <row r="43" ht="14.25" customHeight="1">
      <c r="A43" s="25" t="s">
        <v>0</v>
      </c>
      <c r="B43" s="23" t="s">
        <v>95</v>
      </c>
      <c r="C43" s="23" t="s">
        <v>0</v>
      </c>
      <c r="D43" s="23" t="s">
        <v>96</v>
      </c>
      <c r="E43" s="23" t="s">
        <v>0</v>
      </c>
      <c r="F43" s="24">
        <f t="shared" ref="F43:G43" si="30">TODAY()+35</f>
        <v>46153</v>
      </c>
      <c r="G43" s="24">
        <f t="shared" si="30"/>
        <v>46153</v>
      </c>
      <c r="H43" s="23" t="s">
        <v>0</v>
      </c>
      <c r="I43" s="23">
        <v>0.0</v>
      </c>
      <c r="J43" s="23">
        <v>0.0</v>
      </c>
      <c r="K43" s="23">
        <v>0.0</v>
      </c>
      <c r="L43" s="23">
        <v>0.0</v>
      </c>
      <c r="M43" s="23" t="s">
        <v>23</v>
      </c>
      <c r="N43" s="23" t="s">
        <v>24</v>
      </c>
      <c r="O43" s="23" t="s">
        <v>0</v>
      </c>
      <c r="P43" s="23">
        <v>0.0</v>
      </c>
      <c r="Q43" s="23">
        <v>0.0</v>
      </c>
    </row>
    <row r="44" ht="14.25" customHeight="1">
      <c r="A44" s="18" t="s">
        <v>0</v>
      </c>
      <c r="B44" s="19" t="s">
        <v>97</v>
      </c>
      <c r="C44" s="19" t="s">
        <v>98</v>
      </c>
      <c r="E44" s="19" t="s">
        <v>0</v>
      </c>
      <c r="F44" s="20">
        <f t="shared" ref="F44:F45" si="31">TODAY()+35</f>
        <v>46153</v>
      </c>
      <c r="G44" s="20">
        <f>TODAY()+40</f>
        <v>46158</v>
      </c>
      <c r="H44" s="19" t="s">
        <v>0</v>
      </c>
      <c r="I44" s="19">
        <v>0.0</v>
      </c>
      <c r="J44" s="19">
        <v>40.0</v>
      </c>
      <c r="K44" s="19">
        <v>0.0</v>
      </c>
      <c r="L44" s="19">
        <v>0.0</v>
      </c>
      <c r="M44" s="19" t="s">
        <v>0</v>
      </c>
      <c r="N44" s="19" t="s">
        <v>0</v>
      </c>
      <c r="O44" s="19" t="s">
        <v>0</v>
      </c>
      <c r="P44" s="19">
        <v>0.0</v>
      </c>
      <c r="Q44" s="19">
        <v>0.0</v>
      </c>
    </row>
    <row r="45" ht="14.25" customHeight="1">
      <c r="A45" s="26" t="s">
        <v>0</v>
      </c>
      <c r="B45" s="23" t="s">
        <v>99</v>
      </c>
      <c r="C45" s="23" t="s">
        <v>0</v>
      </c>
      <c r="D45" s="23" t="s">
        <v>100</v>
      </c>
      <c r="E45" s="23" t="s">
        <v>0</v>
      </c>
      <c r="F45" s="24">
        <f t="shared" si="31"/>
        <v>46153</v>
      </c>
      <c r="G45" s="24">
        <f>TODAY()+35</f>
        <v>46153</v>
      </c>
      <c r="H45" s="23" t="s">
        <v>0</v>
      </c>
      <c r="I45" s="23">
        <v>0.0</v>
      </c>
      <c r="J45" s="23">
        <v>8.0</v>
      </c>
      <c r="K45" s="23">
        <v>0.0</v>
      </c>
      <c r="L45" s="23">
        <v>0.0</v>
      </c>
      <c r="M45" s="23" t="s">
        <v>23</v>
      </c>
      <c r="N45" s="23" t="s">
        <v>24</v>
      </c>
      <c r="O45" s="23" t="s">
        <v>0</v>
      </c>
      <c r="P45" s="23">
        <v>0.0</v>
      </c>
      <c r="Q45" s="23">
        <v>0.0</v>
      </c>
    </row>
    <row r="46" ht="14.25" customHeight="1">
      <c r="A46" s="26" t="s">
        <v>0</v>
      </c>
      <c r="B46" s="23" t="s">
        <v>101</v>
      </c>
      <c r="C46" s="23" t="s">
        <v>0</v>
      </c>
      <c r="D46" s="23" t="s">
        <v>102</v>
      </c>
      <c r="E46" s="23" t="s">
        <v>0</v>
      </c>
      <c r="F46" s="24">
        <f>TODAY()+36</f>
        <v>46154</v>
      </c>
      <c r="G46" s="24">
        <f>TODAY()+37</f>
        <v>46155</v>
      </c>
      <c r="H46" s="23" t="s">
        <v>0</v>
      </c>
      <c r="I46" s="23">
        <v>0.0</v>
      </c>
      <c r="J46" s="23">
        <v>16.0</v>
      </c>
      <c r="K46" s="23">
        <v>0.0</v>
      </c>
      <c r="L46" s="23">
        <v>0.0</v>
      </c>
      <c r="M46" s="23" t="s">
        <v>23</v>
      </c>
      <c r="N46" s="23" t="s">
        <v>24</v>
      </c>
      <c r="O46" s="23" t="s">
        <v>0</v>
      </c>
      <c r="P46" s="23">
        <v>0.0</v>
      </c>
      <c r="Q46" s="23">
        <v>0.0</v>
      </c>
      <c r="Z46" s="27">
        <v>9.0</v>
      </c>
    </row>
    <row r="47" ht="14.25" customHeight="1">
      <c r="A47" s="26" t="s">
        <v>0</v>
      </c>
      <c r="B47" s="23" t="s">
        <v>103</v>
      </c>
      <c r="C47" s="23" t="s">
        <v>0</v>
      </c>
      <c r="D47" s="23" t="s">
        <v>104</v>
      </c>
      <c r="E47" s="23" t="s">
        <v>0</v>
      </c>
      <c r="F47" s="24">
        <f t="shared" ref="F47:G47" si="32">TODAY()+39</f>
        <v>46157</v>
      </c>
      <c r="G47" s="24">
        <f t="shared" si="32"/>
        <v>46157</v>
      </c>
      <c r="H47" s="23" t="s">
        <v>0</v>
      </c>
      <c r="I47" s="23">
        <v>0.0</v>
      </c>
      <c r="J47" s="23">
        <v>8.0</v>
      </c>
      <c r="K47" s="23">
        <v>0.0</v>
      </c>
      <c r="L47" s="23">
        <v>0.0</v>
      </c>
      <c r="M47" s="23" t="s">
        <v>23</v>
      </c>
      <c r="N47" s="23" t="s">
        <v>24</v>
      </c>
      <c r="O47" s="23" t="s">
        <v>0</v>
      </c>
      <c r="P47" s="23">
        <v>0.0</v>
      </c>
      <c r="Q47" s="23">
        <v>0.0</v>
      </c>
    </row>
    <row r="48" ht="14.25" customHeight="1">
      <c r="A48" s="25" t="s">
        <v>0</v>
      </c>
      <c r="B48" s="23" t="s">
        <v>105</v>
      </c>
      <c r="C48" s="23" t="s">
        <v>0</v>
      </c>
      <c r="D48" s="23" t="s">
        <v>106</v>
      </c>
      <c r="E48" s="23" t="s">
        <v>0</v>
      </c>
      <c r="F48" s="24">
        <f t="shared" ref="F48:G48" si="33">TODAY()+40</f>
        <v>46158</v>
      </c>
      <c r="G48" s="24">
        <f t="shared" si="33"/>
        <v>46158</v>
      </c>
      <c r="H48" s="23" t="s">
        <v>0</v>
      </c>
      <c r="I48" s="23">
        <v>0.0</v>
      </c>
      <c r="J48" s="23">
        <v>0.0</v>
      </c>
      <c r="K48" s="23">
        <v>0.0</v>
      </c>
      <c r="L48" s="23">
        <v>0.0</v>
      </c>
      <c r="M48" s="23" t="s">
        <v>23</v>
      </c>
      <c r="N48" s="23" t="s">
        <v>24</v>
      </c>
      <c r="O48" s="23" t="s">
        <v>0</v>
      </c>
      <c r="P48" s="23">
        <v>0.0</v>
      </c>
      <c r="Q48" s="23">
        <v>0.0</v>
      </c>
    </row>
    <row r="49" ht="14.25" customHeight="1">
      <c r="A49" s="18" t="s">
        <v>0</v>
      </c>
      <c r="B49" s="19" t="s">
        <v>107</v>
      </c>
      <c r="C49" s="19" t="s">
        <v>108</v>
      </c>
      <c r="E49" s="19" t="s">
        <v>0</v>
      </c>
      <c r="F49" s="20">
        <f t="shared" ref="F49:F50" si="34">TODAY()+40</f>
        <v>46158</v>
      </c>
      <c r="G49" s="20">
        <f>TODAY()+43</f>
        <v>46161</v>
      </c>
      <c r="H49" s="19" t="s">
        <v>0</v>
      </c>
      <c r="I49" s="19">
        <v>0.0</v>
      </c>
      <c r="J49" s="19">
        <v>24.0</v>
      </c>
      <c r="K49" s="19">
        <v>0.0</v>
      </c>
      <c r="L49" s="19">
        <v>0.0</v>
      </c>
      <c r="M49" s="19" t="s">
        <v>0</v>
      </c>
      <c r="N49" s="19" t="s">
        <v>0</v>
      </c>
      <c r="O49" s="19" t="s">
        <v>0</v>
      </c>
      <c r="P49" s="19">
        <v>0.0</v>
      </c>
      <c r="Q49" s="19">
        <v>0.0</v>
      </c>
    </row>
    <row r="50" ht="14.25" customHeight="1">
      <c r="A50" s="26" t="s">
        <v>0</v>
      </c>
      <c r="B50" s="23" t="s">
        <v>109</v>
      </c>
      <c r="C50" s="23" t="s">
        <v>0</v>
      </c>
      <c r="D50" s="23" t="s">
        <v>110</v>
      </c>
      <c r="E50" s="23" t="s">
        <v>0</v>
      </c>
      <c r="F50" s="24">
        <f t="shared" si="34"/>
        <v>46158</v>
      </c>
      <c r="G50" s="24">
        <f>TODAY()+40</f>
        <v>46158</v>
      </c>
      <c r="H50" s="23" t="s">
        <v>0</v>
      </c>
      <c r="I50" s="23">
        <v>0.0</v>
      </c>
      <c r="J50" s="23">
        <v>8.0</v>
      </c>
      <c r="K50" s="23">
        <v>0.0</v>
      </c>
      <c r="L50" s="23">
        <v>0.0</v>
      </c>
      <c r="M50" s="23" t="s">
        <v>23</v>
      </c>
      <c r="N50" s="23" t="s">
        <v>24</v>
      </c>
      <c r="O50" s="23" t="s">
        <v>0</v>
      </c>
      <c r="P50" s="23">
        <v>0.0</v>
      </c>
      <c r="Q50" s="23">
        <v>0.0</v>
      </c>
    </row>
    <row r="51" ht="14.25" customHeight="1">
      <c r="A51" s="26" t="s">
        <v>0</v>
      </c>
      <c r="B51" s="23" t="s">
        <v>111</v>
      </c>
      <c r="C51" s="23" t="s">
        <v>0</v>
      </c>
      <c r="D51" s="23" t="s">
        <v>112</v>
      </c>
      <c r="E51" s="23" t="s">
        <v>0</v>
      </c>
      <c r="F51" s="24">
        <f t="shared" ref="F51:G51" si="35">TODAY()+41</f>
        <v>46159</v>
      </c>
      <c r="G51" s="24">
        <f t="shared" si="35"/>
        <v>46159</v>
      </c>
      <c r="H51" s="23" t="s">
        <v>0</v>
      </c>
      <c r="I51" s="23">
        <v>0.0</v>
      </c>
      <c r="J51" s="23">
        <v>8.0</v>
      </c>
      <c r="K51" s="23">
        <v>0.0</v>
      </c>
      <c r="L51" s="23">
        <v>0.0</v>
      </c>
      <c r="M51" s="23" t="s">
        <v>23</v>
      </c>
      <c r="N51" s="23" t="s">
        <v>24</v>
      </c>
      <c r="O51" s="23" t="s">
        <v>0</v>
      </c>
      <c r="P51" s="23">
        <v>0.0</v>
      </c>
      <c r="Q51" s="23">
        <v>0.0</v>
      </c>
    </row>
    <row r="52" ht="14.25" customHeight="1">
      <c r="A52" s="25" t="s">
        <v>0</v>
      </c>
      <c r="B52" s="23" t="s">
        <v>113</v>
      </c>
      <c r="C52" s="23" t="s">
        <v>0</v>
      </c>
      <c r="D52" s="23" t="s">
        <v>114</v>
      </c>
      <c r="E52" s="23" t="s">
        <v>0</v>
      </c>
      <c r="F52" s="24">
        <f t="shared" ref="F52:G52" si="36">TODAY()+43</f>
        <v>46161</v>
      </c>
      <c r="G52" s="24">
        <f t="shared" si="36"/>
        <v>46161</v>
      </c>
      <c r="H52" s="23" t="s">
        <v>0</v>
      </c>
      <c r="I52" s="23">
        <v>0.0</v>
      </c>
      <c r="J52" s="23">
        <v>0.0</v>
      </c>
      <c r="K52" s="23">
        <v>0.0</v>
      </c>
      <c r="L52" s="23">
        <v>0.0</v>
      </c>
      <c r="M52" s="23" t="s">
        <v>23</v>
      </c>
      <c r="N52" s="23" t="s">
        <v>24</v>
      </c>
      <c r="O52" s="23" t="s">
        <v>0</v>
      </c>
      <c r="P52" s="23">
        <v>0.0</v>
      </c>
      <c r="Q52" s="23">
        <v>0.0</v>
      </c>
    </row>
    <row r="53" ht="14.25" customHeight="1">
      <c r="A53" s="18" t="s">
        <v>0</v>
      </c>
      <c r="B53" s="19" t="s">
        <v>115</v>
      </c>
      <c r="C53" s="19" t="s">
        <v>116</v>
      </c>
      <c r="E53" s="19" t="s">
        <v>0</v>
      </c>
      <c r="F53" s="20">
        <f t="shared" ref="F53:F54" si="37">TODAY()+43</f>
        <v>46161</v>
      </c>
      <c r="G53" s="20">
        <f>TODAY()+45</f>
        <v>46163</v>
      </c>
      <c r="H53" s="19" t="s">
        <v>0</v>
      </c>
      <c r="I53" s="19">
        <v>0.0</v>
      </c>
      <c r="J53" s="19">
        <v>16.0</v>
      </c>
      <c r="K53" s="19">
        <v>0.0</v>
      </c>
      <c r="L53" s="19">
        <v>0.0</v>
      </c>
      <c r="M53" s="19" t="s">
        <v>0</v>
      </c>
      <c r="N53" s="19" t="s">
        <v>0</v>
      </c>
      <c r="O53" s="19" t="s">
        <v>0</v>
      </c>
      <c r="P53" s="19">
        <v>0.0</v>
      </c>
      <c r="Q53" s="19">
        <v>0.0</v>
      </c>
    </row>
    <row r="54" ht="14.25" customHeight="1">
      <c r="A54" s="26" t="s">
        <v>0</v>
      </c>
      <c r="B54" s="23" t="s">
        <v>117</v>
      </c>
      <c r="C54" s="23" t="s">
        <v>0</v>
      </c>
      <c r="D54" s="23" t="s">
        <v>118</v>
      </c>
      <c r="E54" s="23" t="s">
        <v>0</v>
      </c>
      <c r="F54" s="24">
        <f t="shared" si="37"/>
        <v>46161</v>
      </c>
      <c r="G54" s="24">
        <f>TODAY()+43</f>
        <v>46161</v>
      </c>
      <c r="H54" s="23" t="s">
        <v>0</v>
      </c>
      <c r="I54" s="23">
        <v>0.0</v>
      </c>
      <c r="J54" s="23">
        <v>8.0</v>
      </c>
      <c r="K54" s="23">
        <v>0.0</v>
      </c>
      <c r="L54" s="23">
        <v>0.0</v>
      </c>
      <c r="M54" s="23" t="s">
        <v>23</v>
      </c>
      <c r="N54" s="23" t="s">
        <v>24</v>
      </c>
      <c r="O54" s="23" t="s">
        <v>0</v>
      </c>
      <c r="P54" s="23">
        <v>0.0</v>
      </c>
      <c r="Q54" s="23">
        <v>0.0</v>
      </c>
    </row>
    <row r="55" ht="14.25" customHeight="1">
      <c r="A55" s="26" t="s">
        <v>0</v>
      </c>
      <c r="B55" s="23" t="s">
        <v>119</v>
      </c>
      <c r="C55" s="23" t="s">
        <v>0</v>
      </c>
      <c r="D55" s="23" t="s">
        <v>116</v>
      </c>
      <c r="E55" s="23" t="s">
        <v>0</v>
      </c>
      <c r="F55" s="24">
        <f t="shared" ref="F55:G55" si="38">TODAY()+44</f>
        <v>46162</v>
      </c>
      <c r="G55" s="24">
        <f t="shared" si="38"/>
        <v>46162</v>
      </c>
      <c r="H55" s="23" t="s">
        <v>0</v>
      </c>
      <c r="I55" s="23">
        <v>0.0</v>
      </c>
      <c r="J55" s="23">
        <v>8.0</v>
      </c>
      <c r="K55" s="23">
        <v>0.0</v>
      </c>
      <c r="L55" s="23">
        <v>0.0</v>
      </c>
      <c r="M55" s="23" t="s">
        <v>23</v>
      </c>
      <c r="N55" s="23" t="s">
        <v>24</v>
      </c>
      <c r="O55" s="23" t="s">
        <v>0</v>
      </c>
      <c r="P55" s="23">
        <v>0.0</v>
      </c>
      <c r="Q55" s="23">
        <v>0.0</v>
      </c>
    </row>
    <row r="56" ht="14.25" customHeight="1">
      <c r="A56" s="25" t="s">
        <v>0</v>
      </c>
      <c r="B56" s="23" t="s">
        <v>120</v>
      </c>
      <c r="C56" s="23" t="s">
        <v>0</v>
      </c>
      <c r="D56" s="23" t="s">
        <v>121</v>
      </c>
      <c r="E56" s="23" t="s">
        <v>0</v>
      </c>
      <c r="F56" s="24">
        <f t="shared" ref="F56:G56" si="39">TODAY()+45</f>
        <v>46163</v>
      </c>
      <c r="G56" s="24">
        <f t="shared" si="39"/>
        <v>46163</v>
      </c>
      <c r="H56" s="23" t="s">
        <v>0</v>
      </c>
      <c r="I56" s="23">
        <v>0.0</v>
      </c>
      <c r="J56" s="23">
        <v>0.0</v>
      </c>
      <c r="K56" s="23">
        <v>0.0</v>
      </c>
      <c r="L56" s="23">
        <v>0.0</v>
      </c>
      <c r="M56" s="23" t="s">
        <v>23</v>
      </c>
      <c r="N56" s="23" t="s">
        <v>24</v>
      </c>
      <c r="O56" s="23" t="s">
        <v>0</v>
      </c>
      <c r="P56" s="23">
        <v>0.0</v>
      </c>
      <c r="Q56" s="23">
        <v>0.0</v>
      </c>
    </row>
    <row r="57" ht="14.25" customHeight="1">
      <c r="A57" s="23" t="s">
        <v>0</v>
      </c>
    </row>
    <row r="58" ht="14.25" customHeight="1">
      <c r="A58" s="28" t="s">
        <v>122</v>
      </c>
    </row>
    <row r="59" ht="14.25" customHeight="1">
      <c r="A59" s="28" t="s">
        <v>123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C20:D20"/>
    <mergeCell ref="C26:D26"/>
    <mergeCell ref="C36:D36"/>
    <mergeCell ref="C44:D44"/>
    <mergeCell ref="C49:D49"/>
    <mergeCell ref="C53:D53"/>
    <mergeCell ref="A58:Q58"/>
    <mergeCell ref="A59:Q59"/>
    <mergeCell ref="A1:G3"/>
    <mergeCell ref="A4:H4"/>
    <mergeCell ref="I4:Q4"/>
    <mergeCell ref="C6:D6"/>
    <mergeCell ref="C11:D11"/>
    <mergeCell ref="C16:D16"/>
  </mergeCells>
  <hyperlinks>
    <hyperlink r:id="rId1" ref="H2"/>
    <hyperlink r:id="rId2" ref="A58"/>
    <hyperlink r:id="rId3" ref="A59"/>
  </hyperlinks>
  <printOptions/>
  <pageMargins bottom="0.75" footer="0.0" header="0.0" left="0.7" right="0.7" top="0.75"/>
  <pageSetup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2020-06-11T13:32:01Z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2025-03-13T19:02:58Z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ccf499de-7bed-4b2d-9c6e-d71132b7dcac</vt:lpwstr>
  </property>
  <property fmtid="{D5CDD505-2E9C-101B-9397-08002B2CF9AE}" pid="8" name="MSIP_Label_455b24b8-e69b-4583-bfd0-d64b5cee0119_ContentBits">
    <vt:lpwstr>0</vt:lpwstr>
  </property>
  <property fmtid="{D5CDD505-2E9C-101B-9397-08002B2CF9AE}" pid="9" name="MSIP_Label_455b24b8-e69b-4583-bfd0-d64b5cee0119_Tag">
    <vt:lpwstr>10, 0, 1, 1</vt:lpwstr>
  </property>
</Properties>
</file>