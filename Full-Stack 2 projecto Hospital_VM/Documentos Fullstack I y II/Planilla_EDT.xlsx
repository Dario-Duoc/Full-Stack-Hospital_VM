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alculo de costo " sheetId="2" r:id="rId5"/>
    <sheet state="visible" name="Carta gantt " sheetId="3" r:id="rId6"/>
  </sheets>
  <definedNames/>
  <calcPr/>
  <extLst>
    <ext uri="GoogleSheetsCustomDataVersion2">
      <go:sheetsCustomData xmlns:go="http://customooxmlschemas.google.com/" r:id="rId7" roundtripDataChecksum="sx0a9wi8u4Kbs4Nrl5YyzpSqLj20XKaAJvYBTOaO3C0="/>
    </ext>
  </extLst>
</workbook>
</file>

<file path=xl/sharedStrings.xml><?xml version="1.0" encoding="utf-8"?>
<sst xmlns="http://schemas.openxmlformats.org/spreadsheetml/2006/main" count="204" uniqueCount="120">
  <si>
    <t>EDT - Planilla Estructura de descomposición de tareas</t>
  </si>
  <si>
    <t>N°</t>
  </si>
  <si>
    <t xml:space="preserve">Actividades </t>
  </si>
  <si>
    <t>DIAS</t>
  </si>
  <si>
    <t>HORAS POR ACTIVIDAD O ENTREGABLE</t>
  </si>
  <si>
    <t>DICCIONARIO EDT</t>
  </si>
  <si>
    <t xml:space="preserve">Sueldo por ingeniero mes </t>
  </si>
  <si>
    <t>1.0</t>
  </si>
  <si>
    <t>Fase de Planificación</t>
  </si>
  <si>
    <t>JP</t>
  </si>
  <si>
    <t>ABD</t>
  </si>
  <si>
    <t>AC</t>
  </si>
  <si>
    <t>AP</t>
  </si>
  <si>
    <t>AS</t>
  </si>
  <si>
    <t>Siglas</t>
  </si>
  <si>
    <t>ROL ACTOR</t>
  </si>
  <si>
    <t>NOMBRE ACTOR</t>
  </si>
  <si>
    <t>Sueldo Liquido</t>
  </si>
  <si>
    <t>1.1</t>
  </si>
  <si>
    <t>Kick Off</t>
  </si>
  <si>
    <t>Jefe de proyecto</t>
  </si>
  <si>
    <t>Dario Donoso</t>
  </si>
  <si>
    <t>AFP</t>
  </si>
  <si>
    <t>1.2</t>
  </si>
  <si>
    <t>Acta de Constitución de proyecto</t>
  </si>
  <si>
    <t>Analista Base de datos</t>
  </si>
  <si>
    <t>Vicente Pino</t>
  </si>
  <si>
    <t>SALUD</t>
  </si>
  <si>
    <t>1.3</t>
  </si>
  <si>
    <t>Aprobación del Acta</t>
  </si>
  <si>
    <t>Analista de Calidad</t>
  </si>
  <si>
    <t xml:space="preserve">Bono de colacion </t>
  </si>
  <si>
    <t>1.4</t>
  </si>
  <si>
    <t>Definición de requerimientos Generales del proyecto</t>
  </si>
  <si>
    <t>Analista  programador</t>
  </si>
  <si>
    <t>Bono locomocion</t>
  </si>
  <si>
    <t>1.5</t>
  </si>
  <si>
    <t>Organización del equipo</t>
  </si>
  <si>
    <t>Arquitecto de software</t>
  </si>
  <si>
    <t xml:space="preserve">Equipacion </t>
  </si>
  <si>
    <t>2.0</t>
  </si>
  <si>
    <t>Fase de Análisis y diseño</t>
  </si>
  <si>
    <t>Plan celular</t>
  </si>
  <si>
    <t>2.1</t>
  </si>
  <si>
    <t>Captura de requerimientos específicos</t>
  </si>
  <si>
    <t>Totales en tiempo del proyecto</t>
  </si>
  <si>
    <t xml:space="preserve">Total </t>
  </si>
  <si>
    <t>2.2</t>
  </si>
  <si>
    <t>Análisis de requerimientos</t>
  </si>
  <si>
    <t xml:space="preserve">Días </t>
  </si>
  <si>
    <t>2.3</t>
  </si>
  <si>
    <t>Diseño de la solución. Modelamientos</t>
  </si>
  <si>
    <t xml:space="preserve">Horas </t>
  </si>
  <si>
    <t>Sueldo dia</t>
  </si>
  <si>
    <t>2.4</t>
  </si>
  <si>
    <t>Propuesta ERS</t>
  </si>
  <si>
    <t xml:space="preserve">Valor hora </t>
  </si>
  <si>
    <t>3.0</t>
  </si>
  <si>
    <t>Fase de Desarrollo</t>
  </si>
  <si>
    <t>Cargo</t>
  </si>
  <si>
    <t>Total horas</t>
  </si>
  <si>
    <t>Costo por hora</t>
  </si>
  <si>
    <t>3.1</t>
  </si>
  <si>
    <t>Implementación ambiente de desarrollo</t>
  </si>
  <si>
    <t xml:space="preserve">Costo  total proyecto </t>
  </si>
  <si>
    <t>3.2</t>
  </si>
  <si>
    <t xml:space="preserve">Configuración de módulos del software </t>
  </si>
  <si>
    <t>3.3</t>
  </si>
  <si>
    <t xml:space="preserve">Creación de base de datos </t>
  </si>
  <si>
    <t>3.4</t>
  </si>
  <si>
    <t xml:space="preserve">Integración de software de ejecución de reportes </t>
  </si>
  <si>
    <t>3.5</t>
  </si>
  <si>
    <t xml:space="preserve">Instalación de servidor </t>
  </si>
  <si>
    <t>3.6</t>
  </si>
  <si>
    <t xml:space="preserve">Configuración de impresoras </t>
  </si>
  <si>
    <t>|</t>
  </si>
  <si>
    <t>Totales</t>
  </si>
  <si>
    <t>3.7</t>
  </si>
  <si>
    <t>Integración del sistema</t>
  </si>
  <si>
    <t>4.0</t>
  </si>
  <si>
    <t>Fase de implementación y cierre</t>
  </si>
  <si>
    <t>4.1</t>
  </si>
  <si>
    <t xml:space="preserve">Pruebas configuración de software y base datos </t>
  </si>
  <si>
    <t>4.2</t>
  </si>
  <si>
    <t xml:space="preserve">Pruebas funcionamiento de servidor y software reporte </t>
  </si>
  <si>
    <t>4.3</t>
  </si>
  <si>
    <t>Pruebas de configuración de impresora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</si>
  <si>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</si>
  <si>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</si>
  <si>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</si>
  <si>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</si>
  <si>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</si>
  <si>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</si>
  <si>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</si>
  <si>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</si>
  <si>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</si>
  <si>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</t>
  </si>
  <si>
    <t>4.9</t>
  </si>
  <si>
    <t>Cierre de proyecto</t>
  </si>
  <si>
    <t xml:space="preserve">Nota: Ya esta incluidos los descuentos legales </t>
  </si>
  <si>
    <t>Planificacion software "FDA"</t>
  </si>
  <si>
    <t>Actividades/semanas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</si>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</sst>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10">
    <font>
      <sz val="11.0"/>
      <color theme="1"/>
      <name val="Calibri"/>
      <scheme val="minor"/>
    </font>
    <font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b/>
      <sz val="14.0"/>
      <color theme="1"/>
      <name val="Calibri"/>
    </font>
    <font>
      <color rgb="FF00B0F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2" fontId="4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/>
    </xf>
    <xf borderId="4" fillId="0" fontId="3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wrapText="1"/>
    </xf>
    <xf borderId="4" fillId="0" fontId="4" numFmtId="0" xfId="0" applyBorder="1" applyFont="1"/>
    <xf borderId="4" fillId="0" fontId="5" numFmtId="164" xfId="0" applyBorder="1" applyFont="1" applyNumberFormat="1"/>
    <xf borderId="4" fillId="0" fontId="6" numFmtId="0" xfId="0" applyAlignment="1" applyBorder="1" applyFont="1">
      <alignment horizontal="right" vertical="bottom"/>
    </xf>
    <xf borderId="4" fillId="0" fontId="6" numFmtId="1" xfId="0" applyAlignment="1" applyBorder="1" applyFont="1" applyNumberFormat="1">
      <alignment horizontal="right" vertical="bottom"/>
    </xf>
    <xf borderId="0" fillId="0" fontId="3" numFmtId="1" xfId="0" applyFont="1" applyNumberFormat="1"/>
    <xf borderId="4" fillId="0" fontId="3" numFmtId="1" xfId="0" applyBorder="1" applyFont="1" applyNumberFormat="1"/>
    <xf borderId="4" fillId="0" fontId="7" numFmtId="0" xfId="0" applyAlignment="1" applyBorder="1" applyFont="1">
      <alignment readingOrder="0"/>
    </xf>
    <xf borderId="4" fillId="0" fontId="4" numFmtId="164" xfId="0" applyBorder="1" applyFont="1" applyNumberFormat="1"/>
    <xf borderId="4" fillId="2" fontId="6" numFmtId="0" xfId="0" applyAlignment="1" applyBorder="1" applyFont="1">
      <alignment vertical="bottom"/>
    </xf>
    <xf borderId="4" fillId="4" fontId="4" numFmtId="0" xfId="0" applyBorder="1" applyFill="1" applyFont="1"/>
    <xf borderId="4" fillId="0" fontId="3" numFmtId="164" xfId="0" applyBorder="1" applyFont="1" applyNumberFormat="1"/>
    <xf borderId="4" fillId="3" fontId="4" numFmtId="0" xfId="0" applyAlignment="1" applyBorder="1" applyFont="1">
      <alignment horizontal="left"/>
    </xf>
    <xf borderId="0" fillId="0" fontId="7" numFmtId="0" xfId="0" applyAlignment="1" applyFont="1">
      <alignment readingOrder="0"/>
    </xf>
    <xf borderId="4" fillId="2" fontId="3" numFmtId="1" xfId="0" applyAlignment="1" applyBorder="1" applyFont="1" applyNumberFormat="1">
      <alignment horizontal="right"/>
    </xf>
    <xf borderId="4" fillId="2" fontId="3" numFmtId="164" xfId="0" applyAlignment="1" applyBorder="1" applyFont="1" applyNumberFormat="1">
      <alignment horizontal="center"/>
    </xf>
    <xf borderId="5" fillId="4" fontId="4" numFmtId="0" xfId="0" applyAlignment="1" applyBorder="1" applyFont="1">
      <alignment horizontal="center"/>
    </xf>
    <xf borderId="0" fillId="0" fontId="7" numFmtId="0" xfId="0" applyFont="1"/>
    <xf borderId="4" fillId="4" fontId="4" numFmtId="164" xfId="0" applyBorder="1" applyFont="1" applyNumberFormat="1"/>
    <xf borderId="0" fillId="0" fontId="8" numFmtId="0" xfId="0" applyAlignment="1" applyFont="1">
      <alignment horizontal="center"/>
    </xf>
    <xf borderId="8" fillId="0" fontId="2" numFmtId="0" xfId="0" applyBorder="1" applyFont="1"/>
    <xf borderId="9" fillId="2" fontId="3" numFmtId="0" xfId="0" applyBorder="1" applyFont="1"/>
    <xf borderId="5" fillId="2" fontId="8" numFmtId="0" xfId="0" applyAlignment="1" applyBorder="1" applyFont="1">
      <alignment horizontal="left"/>
    </xf>
    <xf borderId="10" fillId="2" fontId="3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13" fillId="2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14" fillId="0" fontId="6" numFmtId="0" xfId="0" applyAlignment="1" applyBorder="1" applyFont="1">
      <alignment horizontal="right" vertical="bottom"/>
    </xf>
    <xf borderId="0" fillId="5" fontId="6" numFmtId="0" xfId="0" applyAlignment="1" applyFill="1" applyFont="1">
      <alignment vertical="bottom"/>
    </xf>
    <xf borderId="0" fillId="5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14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Font="1"/>
    <xf borderId="0" fillId="5" fontId="6" numFmtId="0" xfId="0" applyAlignment="1" applyFont="1">
      <alignment vertical="bottom"/>
    </xf>
    <xf borderId="0" fillId="5" fontId="7" numFmtId="0" xfId="0" applyFont="1"/>
    <xf borderId="14" fillId="0" fontId="6" numFmtId="0" xfId="0" applyAlignment="1" applyBorder="1" applyFont="1">
      <alignment vertical="bottom"/>
    </xf>
    <xf borderId="15" fillId="0" fontId="6" numFmtId="0" xfId="0" applyAlignment="1" applyBorder="1" applyFont="1">
      <alignment horizontal="right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vertical="bottom"/>
    </xf>
    <xf borderId="16" fillId="0" fontId="7" numFmtId="0" xfId="0" applyBorder="1" applyFont="1"/>
    <xf borderId="16" fillId="5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5.0"/>
    <col customWidth="1" min="2" max="2" width="51.43"/>
    <col customWidth="1" min="3" max="4" width="10.71"/>
    <col customWidth="1" min="5" max="5" width="13.86"/>
    <col customWidth="1" min="6" max="6" width="11.71"/>
    <col customWidth="1" min="7" max="7" width="12.86"/>
    <col customWidth="1" min="8" max="8" width="13.43"/>
    <col customWidth="1" min="9" max="10" width="10.71"/>
    <col customWidth="1" min="11" max="11" width="22.86"/>
    <col customWidth="1" min="12" max="12" width="18.71"/>
    <col customWidth="1" min="13" max="13" width="3.57"/>
    <col customWidth="1" min="14" max="14" width="2.29"/>
    <col customWidth="1" min="15" max="15" width="25.86"/>
    <col customWidth="1" min="16" max="16" width="15.57"/>
    <col customWidth="1" min="17" max="26" width="10.71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14.25" customHeight="1"/>
    <row r="4" ht="14.25" customHeight="1"/>
    <row r="5" ht="14.25" customHeight="1">
      <c r="A5" s="4" t="s">
        <v>1</v>
      </c>
      <c r="B5" s="4" t="s">
        <v>2</v>
      </c>
      <c r="C5" s="5" t="s">
        <v>3</v>
      </c>
      <c r="D5" s="6" t="s">
        <v>4</v>
      </c>
      <c r="E5" s="7"/>
      <c r="F5" s="7"/>
      <c r="G5" s="7"/>
      <c r="H5" s="8"/>
      <c r="K5" s="9" t="s">
        <v>5</v>
      </c>
      <c r="L5" s="8"/>
      <c r="O5" s="10" t="s">
        <v>6</v>
      </c>
      <c r="P5" s="8"/>
    </row>
    <row r="6" ht="14.25" customHeight="1">
      <c r="A6" s="11" t="s">
        <v>7</v>
      </c>
      <c r="B6" s="4" t="s">
        <v>8</v>
      </c>
      <c r="C6" s="4"/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J6" s="5" t="s">
        <v>14</v>
      </c>
      <c r="K6" s="5" t="s">
        <v>15</v>
      </c>
      <c r="L6" s="5" t="s">
        <v>16</v>
      </c>
      <c r="O6" s="14" t="s">
        <v>17</v>
      </c>
      <c r="P6" s="15">
        <v>940000.0</v>
      </c>
    </row>
    <row r="7" ht="14.25" customHeight="1" outlineLevel="1">
      <c r="A7" s="11" t="s">
        <v>18</v>
      </c>
      <c r="B7" s="11" t="s">
        <v>19</v>
      </c>
      <c r="C7" s="16">
        <v>2.0</v>
      </c>
      <c r="D7" s="17">
        <v>4.0</v>
      </c>
      <c r="E7" s="17">
        <v>2.0</v>
      </c>
      <c r="F7" s="17">
        <v>2.0</v>
      </c>
      <c r="G7" s="17">
        <v>2.0</v>
      </c>
      <c r="H7" s="17">
        <v>0.0</v>
      </c>
      <c r="I7" s="18"/>
      <c r="J7" s="19" t="s">
        <v>9</v>
      </c>
      <c r="K7" s="11" t="s">
        <v>20</v>
      </c>
      <c r="L7" s="20" t="s">
        <v>21</v>
      </c>
      <c r="O7" s="14" t="s">
        <v>22</v>
      </c>
      <c r="P7" s="15">
        <f>P6*0.11</f>
        <v>103400</v>
      </c>
    </row>
    <row r="8" ht="14.25" customHeight="1" outlineLevel="1">
      <c r="A8" s="11" t="s">
        <v>23</v>
      </c>
      <c r="B8" s="11" t="s">
        <v>24</v>
      </c>
      <c r="C8" s="16">
        <v>1.0</v>
      </c>
      <c r="D8" s="17">
        <v>3.0</v>
      </c>
      <c r="E8" s="17">
        <v>3.0</v>
      </c>
      <c r="F8" s="17">
        <v>3.0</v>
      </c>
      <c r="G8" s="17">
        <v>3.0</v>
      </c>
      <c r="H8" s="17">
        <v>0.0</v>
      </c>
      <c r="I8" s="18"/>
      <c r="J8" s="19" t="s">
        <v>10</v>
      </c>
      <c r="K8" s="11" t="s">
        <v>25</v>
      </c>
      <c r="L8" s="20" t="s">
        <v>26</v>
      </c>
      <c r="O8" s="14" t="s">
        <v>27</v>
      </c>
      <c r="P8" s="15">
        <f>P6*0.07</f>
        <v>65800</v>
      </c>
    </row>
    <row r="9" ht="14.25" customHeight="1" outlineLevel="1">
      <c r="A9" s="11" t="s">
        <v>28</v>
      </c>
      <c r="B9" s="11" t="s">
        <v>29</v>
      </c>
      <c r="C9" s="16">
        <v>1.0</v>
      </c>
      <c r="D9" s="17">
        <v>2.0</v>
      </c>
      <c r="E9" s="17">
        <v>0.0</v>
      </c>
      <c r="F9" s="17">
        <v>0.0</v>
      </c>
      <c r="G9" s="17">
        <v>0.0</v>
      </c>
      <c r="H9" s="17">
        <v>0.0</v>
      </c>
      <c r="I9" s="18"/>
      <c r="J9" s="19" t="s">
        <v>11</v>
      </c>
      <c r="K9" s="11" t="s">
        <v>30</v>
      </c>
      <c r="L9" s="20" t="s">
        <v>26</v>
      </c>
      <c r="O9" s="14" t="s">
        <v>31</v>
      </c>
      <c r="P9" s="21">
        <v>30000.0</v>
      </c>
    </row>
    <row r="10" ht="14.25" customHeight="1" outlineLevel="1">
      <c r="A10" s="11" t="s">
        <v>32</v>
      </c>
      <c r="B10" s="11" t="s">
        <v>33</v>
      </c>
      <c r="C10" s="16">
        <v>5.0</v>
      </c>
      <c r="D10" s="17">
        <v>4.0</v>
      </c>
      <c r="E10" s="17">
        <v>6.0</v>
      </c>
      <c r="F10" s="17">
        <v>6.0</v>
      </c>
      <c r="G10" s="17">
        <v>6.0</v>
      </c>
      <c r="H10" s="17">
        <v>2.0</v>
      </c>
      <c r="I10" s="18"/>
      <c r="J10" s="19" t="s">
        <v>12</v>
      </c>
      <c r="K10" s="11" t="s">
        <v>34</v>
      </c>
      <c r="L10" s="20" t="s">
        <v>21</v>
      </c>
      <c r="O10" s="14" t="s">
        <v>35</v>
      </c>
      <c r="P10" s="21">
        <v>25000.0</v>
      </c>
    </row>
    <row r="11" ht="14.25" customHeight="1" outlineLevel="1">
      <c r="A11" s="11" t="s">
        <v>36</v>
      </c>
      <c r="B11" s="11" t="s">
        <v>37</v>
      </c>
      <c r="C11" s="16">
        <v>1.0</v>
      </c>
      <c r="D11" s="17">
        <v>4.0</v>
      </c>
      <c r="E11" s="17">
        <v>0.0</v>
      </c>
      <c r="F11" s="17">
        <v>0.0</v>
      </c>
      <c r="G11" s="17">
        <v>0.0</v>
      </c>
      <c r="H11" s="17">
        <v>0.0</v>
      </c>
      <c r="I11" s="18"/>
      <c r="J11" s="19" t="s">
        <v>13</v>
      </c>
      <c r="K11" s="11" t="s">
        <v>38</v>
      </c>
      <c r="L11" s="20" t="s">
        <v>21</v>
      </c>
      <c r="O11" s="14" t="s">
        <v>39</v>
      </c>
      <c r="P11" s="21">
        <v>50000.0</v>
      </c>
    </row>
    <row r="12" ht="14.25" customHeight="1">
      <c r="A12" s="11" t="s">
        <v>40</v>
      </c>
      <c r="B12" s="4" t="s">
        <v>41</v>
      </c>
      <c r="C12" s="22"/>
      <c r="D12" s="22"/>
      <c r="E12" s="22"/>
      <c r="F12" s="22"/>
      <c r="G12" s="22"/>
      <c r="H12" s="22"/>
      <c r="O12" s="14" t="s">
        <v>42</v>
      </c>
      <c r="P12" s="21">
        <v>20000.0</v>
      </c>
    </row>
    <row r="13" ht="14.25" customHeight="1" outlineLevel="1">
      <c r="A13" s="11" t="s">
        <v>43</v>
      </c>
      <c r="B13" s="11" t="s">
        <v>44</v>
      </c>
      <c r="C13" s="16">
        <v>3.0</v>
      </c>
      <c r="D13" s="16">
        <v>4.0</v>
      </c>
      <c r="E13" s="16">
        <v>3.0</v>
      </c>
      <c r="F13" s="16">
        <v>3.0</v>
      </c>
      <c r="G13" s="16">
        <v>2.0</v>
      </c>
      <c r="H13" s="16">
        <v>1.0</v>
      </c>
      <c r="J13" s="9" t="s">
        <v>45</v>
      </c>
      <c r="K13" s="8"/>
      <c r="O13" s="23" t="s">
        <v>46</v>
      </c>
      <c r="P13" s="21">
        <f>SUM(P6:P12)</f>
        <v>1234200</v>
      </c>
    </row>
    <row r="14" ht="14.25" customHeight="1" outlineLevel="1">
      <c r="A14" s="11" t="s">
        <v>47</v>
      </c>
      <c r="B14" s="11" t="s">
        <v>48</v>
      </c>
      <c r="C14" s="16">
        <v>5.0</v>
      </c>
      <c r="D14" s="16">
        <v>5.0</v>
      </c>
      <c r="E14" s="16">
        <v>4.0</v>
      </c>
      <c r="F14" s="16">
        <v>6.0</v>
      </c>
      <c r="G14" s="16">
        <v>2.0</v>
      </c>
      <c r="H14" s="16">
        <v>0.0</v>
      </c>
      <c r="J14" s="19" t="s">
        <v>49</v>
      </c>
      <c r="K14" s="11">
        <f>SUM(C7:C34)</f>
        <v>88</v>
      </c>
    </row>
    <row r="15" ht="14.25" customHeight="1" outlineLevel="1">
      <c r="A15" s="11" t="s">
        <v>50</v>
      </c>
      <c r="B15" s="11" t="s">
        <v>51</v>
      </c>
      <c r="C15" s="16">
        <v>5.0</v>
      </c>
      <c r="D15" s="16">
        <v>8.0</v>
      </c>
      <c r="E15" s="16">
        <v>10.0</v>
      </c>
      <c r="F15" s="16">
        <v>8.0</v>
      </c>
      <c r="G15" s="16">
        <v>8.0</v>
      </c>
      <c r="H15" s="16">
        <v>6.0</v>
      </c>
      <c r="J15" s="19" t="s">
        <v>52</v>
      </c>
      <c r="K15" s="19">
        <f>SUM(D7:H34)</f>
        <v>762</v>
      </c>
      <c r="O15" s="23" t="s">
        <v>53</v>
      </c>
      <c r="P15" s="21">
        <f>P13/30</f>
        <v>41140</v>
      </c>
    </row>
    <row r="16" ht="14.25" customHeight="1" outlineLevel="1">
      <c r="A16" s="11" t="s">
        <v>54</v>
      </c>
      <c r="B16" s="11" t="s">
        <v>55</v>
      </c>
      <c r="C16" s="16">
        <v>9.0</v>
      </c>
      <c r="D16" s="16">
        <v>14.0</v>
      </c>
      <c r="E16" s="16">
        <v>6.0</v>
      </c>
      <c r="F16" s="16">
        <v>6.0</v>
      </c>
      <c r="G16" s="16">
        <v>6.0</v>
      </c>
      <c r="H16" s="16">
        <v>0.0</v>
      </c>
      <c r="O16" s="23" t="s">
        <v>56</v>
      </c>
      <c r="P16" s="21">
        <f>P15/8</f>
        <v>5142.5</v>
      </c>
    </row>
    <row r="17" ht="14.25" customHeight="1">
      <c r="A17" s="11" t="s">
        <v>57</v>
      </c>
      <c r="B17" s="4" t="s">
        <v>58</v>
      </c>
      <c r="C17" s="22"/>
      <c r="D17" s="22"/>
      <c r="E17" s="22"/>
      <c r="F17" s="22"/>
      <c r="G17" s="22"/>
      <c r="H17" s="22"/>
      <c r="J17" s="5" t="s">
        <v>59</v>
      </c>
      <c r="K17" s="5" t="s">
        <v>60</v>
      </c>
      <c r="L17" s="5" t="s">
        <v>61</v>
      </c>
    </row>
    <row r="18" ht="14.25" customHeight="1" outlineLevel="1">
      <c r="A18" s="11" t="s">
        <v>62</v>
      </c>
      <c r="B18" s="11" t="s">
        <v>63</v>
      </c>
      <c r="C18" s="16">
        <v>5.0</v>
      </c>
      <c r="D18" s="16">
        <v>10.0</v>
      </c>
      <c r="E18" s="16">
        <v>15.0</v>
      </c>
      <c r="F18" s="16">
        <v>15.0</v>
      </c>
      <c r="G18" s="16">
        <v>20.0</v>
      </c>
      <c r="H18" s="16">
        <v>5.0</v>
      </c>
      <c r="J18" s="19" t="s">
        <v>9</v>
      </c>
      <c r="K18" s="19">
        <f>SUM(D7:D34)</f>
        <v>100</v>
      </c>
      <c r="L18" s="24">
        <f>P16*K18</f>
        <v>514250</v>
      </c>
      <c r="O18" s="25" t="s">
        <v>64</v>
      </c>
      <c r="P18" s="21">
        <f>K15*P16</f>
        <v>3918585</v>
      </c>
    </row>
    <row r="19" ht="14.25" customHeight="1" outlineLevel="1">
      <c r="A19" s="11" t="s">
        <v>65</v>
      </c>
      <c r="B19" s="11" t="s">
        <v>66</v>
      </c>
      <c r="C19" s="16">
        <v>5.0</v>
      </c>
      <c r="D19" s="16">
        <v>5.0</v>
      </c>
      <c r="E19" s="16">
        <v>15.0</v>
      </c>
      <c r="F19" s="16">
        <v>15.0</v>
      </c>
      <c r="G19" s="16">
        <v>20.0</v>
      </c>
      <c r="H19" s="16">
        <v>20.0</v>
      </c>
      <c r="J19" s="19" t="s">
        <v>10</v>
      </c>
      <c r="K19" s="19">
        <f>+SUM(E7:E34)</f>
        <v>145</v>
      </c>
      <c r="L19" s="24">
        <f>K19*P16</f>
        <v>745662.5</v>
      </c>
    </row>
    <row r="20" ht="14.25" customHeight="1" outlineLevel="1">
      <c r="A20" s="11" t="s">
        <v>67</v>
      </c>
      <c r="B20" s="11" t="s">
        <v>68</v>
      </c>
      <c r="C20" s="16">
        <v>5.0</v>
      </c>
      <c r="D20" s="16">
        <v>2.0</v>
      </c>
      <c r="E20" s="16">
        <v>15.0</v>
      </c>
      <c r="F20" s="16">
        <v>15.0</v>
      </c>
      <c r="G20" s="16">
        <v>20.0</v>
      </c>
      <c r="H20" s="16">
        <v>20.0</v>
      </c>
      <c r="J20" s="19" t="s">
        <v>11</v>
      </c>
      <c r="K20" s="19">
        <f>SUM(F7:F34)</f>
        <v>181</v>
      </c>
      <c r="L20" s="24">
        <f>K20*P16</f>
        <v>930792.5</v>
      </c>
    </row>
    <row r="21" ht="14.25" customHeight="1" outlineLevel="1">
      <c r="A21" s="11" t="s">
        <v>69</v>
      </c>
      <c r="B21" s="11" t="s">
        <v>70</v>
      </c>
      <c r="C21" s="16">
        <v>5.0</v>
      </c>
      <c r="D21" s="16">
        <v>2.0</v>
      </c>
      <c r="E21" s="16">
        <v>15.0</v>
      </c>
      <c r="F21" s="16">
        <v>15.0</v>
      </c>
      <c r="G21" s="16">
        <v>20.0</v>
      </c>
      <c r="H21" s="16">
        <v>20.0</v>
      </c>
      <c r="J21" s="19" t="s">
        <v>12</v>
      </c>
      <c r="K21" s="19">
        <f>+SUM(G7:G34)</f>
        <v>196</v>
      </c>
      <c r="L21" s="24">
        <f>K21*P16</f>
        <v>1007930</v>
      </c>
    </row>
    <row r="22" ht="14.25" customHeight="1" outlineLevel="1">
      <c r="A22" s="11" t="s">
        <v>71</v>
      </c>
      <c r="B22" s="11" t="s">
        <v>72</v>
      </c>
      <c r="C22" s="16">
        <v>3.0</v>
      </c>
      <c r="D22" s="16">
        <v>2.0</v>
      </c>
      <c r="E22" s="16">
        <v>10.0</v>
      </c>
      <c r="F22" s="16">
        <v>10.0</v>
      </c>
      <c r="G22" s="16">
        <v>15.0</v>
      </c>
      <c r="H22" s="16">
        <v>15.0</v>
      </c>
      <c r="J22" s="19" t="s">
        <v>13</v>
      </c>
      <c r="K22" s="19">
        <f>+SUM(H7:H34)</f>
        <v>140</v>
      </c>
      <c r="L22" s="24">
        <f>P16*K22</f>
        <v>719950</v>
      </c>
    </row>
    <row r="23" ht="14.25" customHeight="1" outlineLevel="1">
      <c r="A23" s="11" t="s">
        <v>73</v>
      </c>
      <c r="B23" s="11" t="s">
        <v>74</v>
      </c>
      <c r="C23" s="16">
        <v>5.0</v>
      </c>
      <c r="D23" s="16">
        <v>0.0</v>
      </c>
      <c r="E23" s="16">
        <v>5.0</v>
      </c>
      <c r="F23" s="16">
        <v>5.0</v>
      </c>
      <c r="G23" s="16">
        <v>10.0</v>
      </c>
      <c r="H23" s="16">
        <v>5.0</v>
      </c>
      <c r="I23" s="26" t="s">
        <v>75</v>
      </c>
      <c r="J23" s="5" t="s">
        <v>76</v>
      </c>
      <c r="K23" s="27">
        <f t="shared" ref="K23:L23" si="1">SUM(K18:K22)</f>
        <v>762</v>
      </c>
      <c r="L23" s="28">
        <f t="shared" si="1"/>
        <v>3918585</v>
      </c>
    </row>
    <row r="24" ht="14.25" customHeight="1" outlineLevel="1">
      <c r="A24" s="11" t="s">
        <v>77</v>
      </c>
      <c r="B24" s="11" t="s">
        <v>78</v>
      </c>
      <c r="C24" s="16">
        <v>3.0</v>
      </c>
      <c r="D24" s="16">
        <v>2.0</v>
      </c>
      <c r="E24" s="16">
        <v>5.0</v>
      </c>
      <c r="F24" s="16">
        <v>10.0</v>
      </c>
      <c r="G24" s="16">
        <v>15.0</v>
      </c>
      <c r="H24" s="16">
        <v>15.0</v>
      </c>
    </row>
    <row r="25" ht="14.25" customHeight="1">
      <c r="A25" s="11" t="s">
        <v>79</v>
      </c>
      <c r="B25" s="4" t="s">
        <v>80</v>
      </c>
      <c r="C25" s="22"/>
      <c r="D25" s="22"/>
      <c r="E25" s="22"/>
      <c r="F25" s="22"/>
      <c r="G25" s="22"/>
      <c r="H25" s="22"/>
    </row>
    <row r="26" ht="14.25" customHeight="1" outlineLevel="1">
      <c r="A26" s="11" t="s">
        <v>81</v>
      </c>
      <c r="B26" s="11" t="s">
        <v>82</v>
      </c>
      <c r="C26" s="16">
        <v>3.0</v>
      </c>
      <c r="D26" s="16">
        <v>2.0</v>
      </c>
      <c r="E26" s="16">
        <v>5.0</v>
      </c>
      <c r="F26" s="16">
        <v>10.0</v>
      </c>
      <c r="G26" s="16">
        <v>5.0</v>
      </c>
      <c r="H26" s="16">
        <v>5.0</v>
      </c>
    </row>
    <row r="27" ht="14.25" customHeight="1" outlineLevel="1">
      <c r="A27" s="11" t="s">
        <v>83</v>
      </c>
      <c r="B27" s="11" t="s">
        <v>84</v>
      </c>
      <c r="C27" s="16">
        <v>3.0</v>
      </c>
      <c r="D27" s="16">
        <v>2.0</v>
      </c>
      <c r="E27" s="16">
        <v>5.0</v>
      </c>
      <c r="F27" s="16">
        <v>10.0</v>
      </c>
      <c r="G27" s="16">
        <v>5.0</v>
      </c>
      <c r="H27" s="16">
        <v>5.0</v>
      </c>
    </row>
    <row r="28" ht="14.25" customHeight="1" outlineLevel="1">
      <c r="A28" s="11" t="s">
        <v>85</v>
      </c>
      <c r="B28" s="11" t="s">
        <v>86</v>
      </c>
      <c r="C28" s="16">
        <v>3.0</v>
      </c>
      <c r="D28" s="16">
        <v>2.0</v>
      </c>
      <c r="E28" s="16">
        <v>5.0</v>
      </c>
      <c r="F28" s="16">
        <v>10.0</v>
      </c>
      <c r="G28" s="16">
        <v>5.0</v>
      </c>
      <c r="H28" s="16">
        <v>5.0</v>
      </c>
    </row>
    <row r="29" ht="14.25" customHeight="1" outlineLevel="1">
      <c r="A29" s="11" t="s">
        <v>87</v>
      </c>
      <c r="B29" s="11" t="s">
        <v>88</v>
      </c>
      <c r="C29" s="16">
        <v>3.0</v>
      </c>
      <c r="D29" s="16">
        <v>2.0</v>
      </c>
      <c r="E29" s="16">
        <v>5.0</v>
      </c>
      <c r="F29" s="16">
        <v>10.0</v>
      </c>
      <c r="G29" s="16">
        <v>10.0</v>
      </c>
      <c r="H29" s="16">
        <v>5.0</v>
      </c>
    </row>
    <row r="30" ht="14.25" customHeight="1" outlineLevel="1">
      <c r="A30" s="11" t="s">
        <v>89</v>
      </c>
      <c r="B30" s="11" t="s">
        <v>90</v>
      </c>
      <c r="C30" s="16">
        <v>5.0</v>
      </c>
      <c r="D30" s="16">
        <v>5.0</v>
      </c>
      <c r="E30" s="16">
        <v>5.0</v>
      </c>
      <c r="F30" s="16">
        <v>5.0</v>
      </c>
      <c r="G30" s="16">
        <v>10.0</v>
      </c>
      <c r="H30" s="16">
        <v>5.0</v>
      </c>
    </row>
    <row r="31" ht="14.25" customHeight="1" outlineLevel="1">
      <c r="A31" s="11" t="s">
        <v>91</v>
      </c>
      <c r="B31" s="11" t="s">
        <v>92</v>
      </c>
      <c r="C31" s="16">
        <v>3.0</v>
      </c>
      <c r="D31" s="16">
        <v>2.0</v>
      </c>
      <c r="E31" s="16">
        <v>2.0</v>
      </c>
      <c r="F31" s="16">
        <v>10.0</v>
      </c>
      <c r="G31" s="16">
        <v>5.0</v>
      </c>
      <c r="H31" s="16">
        <v>2.0</v>
      </c>
    </row>
    <row r="32" ht="14.25" customHeight="1" outlineLevel="1">
      <c r="A32" s="11" t="s">
        <v>93</v>
      </c>
      <c r="B32" s="11" t="s">
        <v>94</v>
      </c>
      <c r="C32" s="16">
        <v>3.0</v>
      </c>
      <c r="D32" s="16">
        <v>5.0</v>
      </c>
      <c r="E32" s="16">
        <v>2.0</v>
      </c>
      <c r="F32" s="16">
        <v>5.0</v>
      </c>
      <c r="G32" s="16">
        <v>5.0</v>
      </c>
      <c r="H32" s="16">
        <v>2.0</v>
      </c>
    </row>
    <row r="33" ht="14.25" customHeight="1" outlineLevel="1">
      <c r="A33" s="11" t="s">
        <v>95</v>
      </c>
      <c r="B33" s="11" t="s">
        <v>96</v>
      </c>
      <c r="C33" s="16">
        <v>1.0</v>
      </c>
      <c r="D33" s="16">
        <v>4.0</v>
      </c>
      <c r="E33" s="16">
        <v>2.0</v>
      </c>
      <c r="F33" s="16">
        <v>2.0</v>
      </c>
      <c r="G33" s="16">
        <v>2.0</v>
      </c>
      <c r="H33" s="16">
        <v>2.0</v>
      </c>
    </row>
    <row r="34" ht="14.25" customHeight="1" outlineLevel="1">
      <c r="A34" s="11" t="s">
        <v>97</v>
      </c>
      <c r="B34" s="11" t="s">
        <v>98</v>
      </c>
      <c r="C34" s="16">
        <v>1.0</v>
      </c>
      <c r="D34" s="16">
        <v>5.0</v>
      </c>
      <c r="E34" s="16">
        <v>0.0</v>
      </c>
      <c r="F34" s="16">
        <v>0.0</v>
      </c>
      <c r="G34" s="16">
        <v>0.0</v>
      </c>
      <c r="H34" s="16">
        <v>0.0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L2"/>
    <mergeCell ref="D5:H5"/>
    <mergeCell ref="K5:L5"/>
    <mergeCell ref="O5:P5"/>
    <mergeCell ref="J13:K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71"/>
    <col customWidth="1" min="3" max="3" width="13.0"/>
    <col customWidth="1" min="4" max="26" width="10.71"/>
  </cols>
  <sheetData>
    <row r="1" ht="14.25" customHeight="1">
      <c r="B1" s="29" t="s">
        <v>6</v>
      </c>
      <c r="C1" s="8"/>
    </row>
    <row r="2" ht="14.25" customHeight="1">
      <c r="B2" s="14" t="s">
        <v>17</v>
      </c>
      <c r="C2" s="15">
        <v>940000.0</v>
      </c>
      <c r="E2" s="30" t="s">
        <v>99</v>
      </c>
    </row>
    <row r="3" ht="14.25" customHeight="1">
      <c r="B3" s="14" t="s">
        <v>22</v>
      </c>
      <c r="C3" s="15">
        <f>C2*0.11</f>
        <v>103400</v>
      </c>
    </row>
    <row r="4" ht="14.25" customHeight="1">
      <c r="B4" s="14" t="s">
        <v>27</v>
      </c>
      <c r="C4" s="15">
        <f>C2*0.07</f>
        <v>65800</v>
      </c>
    </row>
    <row r="5" ht="14.25" customHeight="1">
      <c r="B5" s="14" t="s">
        <v>31</v>
      </c>
      <c r="C5" s="21">
        <v>30000.0</v>
      </c>
    </row>
    <row r="6" ht="14.25" customHeight="1">
      <c r="B6" s="14" t="s">
        <v>35</v>
      </c>
      <c r="C6" s="21">
        <v>25000.0</v>
      </c>
    </row>
    <row r="7" ht="14.25" customHeight="1">
      <c r="B7" s="14" t="s">
        <v>39</v>
      </c>
      <c r="C7" s="21">
        <v>50000.0</v>
      </c>
    </row>
    <row r="8" ht="14.25" customHeight="1">
      <c r="B8" s="14" t="s">
        <v>42</v>
      </c>
      <c r="C8" s="21">
        <v>20000.0</v>
      </c>
    </row>
    <row r="9" ht="14.25" customHeight="1">
      <c r="B9" s="23" t="s">
        <v>46</v>
      </c>
      <c r="C9" s="31">
        <f>SUM(C2:C8)</f>
        <v>1234200</v>
      </c>
    </row>
    <row r="10" ht="14.25" customHeight="1"/>
    <row r="11" ht="14.25" customHeight="1">
      <c r="B11" s="23" t="s">
        <v>53</v>
      </c>
      <c r="C11" s="21">
        <f>C9/30</f>
        <v>41140</v>
      </c>
    </row>
    <row r="12" ht="14.25" customHeight="1">
      <c r="B12" s="23" t="s">
        <v>56</v>
      </c>
      <c r="C12" s="21">
        <f>C11/8</f>
        <v>5142.5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C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8.71"/>
    <col customWidth="1" min="3" max="3" width="5.14"/>
    <col customWidth="1" min="4" max="6" width="3.0"/>
    <col customWidth="1" min="7" max="7" width="2.57"/>
    <col customWidth="1" min="8" max="8" width="2.43"/>
    <col customWidth="1" min="9" max="64" width="3.0"/>
    <col customWidth="1" min="65" max="91" width="3.57"/>
  </cols>
  <sheetData>
    <row r="1" ht="14.25" customHeight="1">
      <c r="A1" s="32" t="s">
        <v>100</v>
      </c>
      <c r="T1" s="33"/>
    </row>
    <row r="2" ht="14.25" customHeight="1">
      <c r="A2" s="34" t="s">
        <v>1</v>
      </c>
      <c r="B2" s="35" t="s">
        <v>101</v>
      </c>
      <c r="C2" s="8"/>
      <c r="D2" s="36" t="s">
        <v>102</v>
      </c>
      <c r="E2" s="37"/>
      <c r="F2" s="37"/>
      <c r="G2" s="37"/>
      <c r="H2" s="38"/>
      <c r="I2" s="36" t="s">
        <v>103</v>
      </c>
      <c r="J2" s="37"/>
      <c r="K2" s="37"/>
      <c r="L2" s="37"/>
      <c r="M2" s="38"/>
      <c r="N2" s="36" t="s">
        <v>104</v>
      </c>
      <c r="O2" s="37"/>
      <c r="P2" s="37"/>
      <c r="Q2" s="37"/>
      <c r="R2" s="38"/>
      <c r="S2" s="36" t="s">
        <v>105</v>
      </c>
      <c r="T2" s="37"/>
      <c r="U2" s="37"/>
      <c r="V2" s="37"/>
      <c r="W2" s="38"/>
      <c r="X2" s="36" t="s">
        <v>106</v>
      </c>
      <c r="Y2" s="37"/>
      <c r="Z2" s="37"/>
      <c r="AA2" s="37"/>
      <c r="AB2" s="38"/>
      <c r="AC2" s="36" t="s">
        <v>107</v>
      </c>
      <c r="AD2" s="37"/>
      <c r="AE2" s="37"/>
      <c r="AF2" s="37"/>
      <c r="AG2" s="38"/>
      <c r="AH2" s="36" t="s">
        <v>108</v>
      </c>
      <c r="AI2" s="37"/>
      <c r="AJ2" s="37"/>
      <c r="AK2" s="37"/>
      <c r="AL2" s="38"/>
      <c r="AM2" s="36" t="s">
        <v>109</v>
      </c>
      <c r="AN2" s="37"/>
      <c r="AO2" s="37"/>
      <c r="AP2" s="37"/>
      <c r="AQ2" s="38"/>
      <c r="AR2" s="36" t="s">
        <v>110</v>
      </c>
      <c r="AS2" s="37"/>
      <c r="AT2" s="37"/>
      <c r="AU2" s="37"/>
      <c r="AV2" s="38"/>
      <c r="AW2" s="36" t="s">
        <v>111</v>
      </c>
      <c r="AX2" s="37"/>
      <c r="AY2" s="37"/>
      <c r="AZ2" s="37"/>
      <c r="BA2" s="38"/>
      <c r="BB2" s="36" t="s">
        <v>112</v>
      </c>
      <c r="BC2" s="37"/>
      <c r="BD2" s="37"/>
      <c r="BE2" s="37"/>
      <c r="BF2" s="38"/>
      <c r="BG2" s="36" t="s">
        <v>113</v>
      </c>
      <c r="BH2" s="37"/>
      <c r="BI2" s="37"/>
      <c r="BJ2" s="37"/>
      <c r="BK2" s="38"/>
      <c r="BL2" s="36" t="s">
        <v>114</v>
      </c>
      <c r="BM2" s="37"/>
      <c r="BN2" s="37"/>
      <c r="BO2" s="37"/>
      <c r="BP2" s="38"/>
      <c r="BQ2" s="36" t="s">
        <v>115</v>
      </c>
      <c r="BR2" s="37"/>
      <c r="BS2" s="37"/>
      <c r="BT2" s="37"/>
      <c r="BU2" s="38"/>
      <c r="BV2" s="36" t="s">
        <v>116</v>
      </c>
      <c r="BW2" s="37"/>
      <c r="BX2" s="37"/>
      <c r="BY2" s="37"/>
      <c r="BZ2" s="38"/>
      <c r="CA2" s="36" t="s">
        <v>117</v>
      </c>
      <c r="CB2" s="37"/>
      <c r="CC2" s="37"/>
      <c r="CD2" s="37"/>
      <c r="CE2" s="38"/>
      <c r="CF2" s="36" t="s">
        <v>118</v>
      </c>
      <c r="CG2" s="37"/>
      <c r="CH2" s="37"/>
      <c r="CI2" s="37"/>
      <c r="CJ2" s="38"/>
      <c r="CK2" s="36" t="s">
        <v>119</v>
      </c>
      <c r="CL2" s="37"/>
      <c r="CM2" s="38"/>
    </row>
    <row r="3" ht="14.25" customHeight="1">
      <c r="A3" s="30" t="s">
        <v>7</v>
      </c>
      <c r="B3" s="34" t="s">
        <v>8</v>
      </c>
      <c r="C3" s="39" t="s">
        <v>3</v>
      </c>
      <c r="D3" s="40">
        <v>1.0</v>
      </c>
      <c r="E3" s="40">
        <v>2.0</v>
      </c>
      <c r="F3" s="40">
        <v>3.0</v>
      </c>
      <c r="G3" s="40">
        <v>4.0</v>
      </c>
      <c r="H3" s="40">
        <v>5.0</v>
      </c>
      <c r="I3" s="40">
        <v>6.0</v>
      </c>
      <c r="J3" s="40">
        <v>7.0</v>
      </c>
      <c r="K3" s="40">
        <v>8.0</v>
      </c>
      <c r="L3" s="40">
        <v>9.0</v>
      </c>
      <c r="M3" s="40">
        <v>10.0</v>
      </c>
      <c r="N3" s="40">
        <v>11.0</v>
      </c>
      <c r="O3" s="40">
        <v>12.0</v>
      </c>
      <c r="P3" s="40">
        <v>13.0</v>
      </c>
      <c r="Q3" s="40">
        <v>14.0</v>
      </c>
      <c r="R3" s="40">
        <v>15.0</v>
      </c>
      <c r="S3" s="40">
        <v>16.0</v>
      </c>
      <c r="T3" s="40">
        <v>17.0</v>
      </c>
      <c r="U3" s="40">
        <v>18.0</v>
      </c>
      <c r="V3" s="40">
        <v>19.0</v>
      </c>
      <c r="W3" s="40">
        <v>20.0</v>
      </c>
      <c r="X3" s="40">
        <v>21.0</v>
      </c>
      <c r="Y3" s="40">
        <v>22.0</v>
      </c>
      <c r="Z3" s="40">
        <v>23.0</v>
      </c>
      <c r="AA3" s="40">
        <v>24.0</v>
      </c>
      <c r="AB3" s="40">
        <v>25.0</v>
      </c>
      <c r="AC3" s="40">
        <v>26.0</v>
      </c>
      <c r="AD3" s="40">
        <v>27.0</v>
      </c>
      <c r="AE3" s="40">
        <v>28.0</v>
      </c>
      <c r="AF3" s="40">
        <v>29.0</v>
      </c>
      <c r="AG3" s="40">
        <v>30.0</v>
      </c>
      <c r="AH3" s="40">
        <v>31.0</v>
      </c>
      <c r="AI3" s="40">
        <v>32.0</v>
      </c>
      <c r="AJ3" s="40">
        <v>33.0</v>
      </c>
      <c r="AK3" s="40">
        <v>34.0</v>
      </c>
      <c r="AL3" s="40">
        <v>35.0</v>
      </c>
      <c r="AM3" s="40">
        <v>36.0</v>
      </c>
      <c r="AN3" s="40">
        <v>37.0</v>
      </c>
      <c r="AO3" s="40">
        <v>38.0</v>
      </c>
      <c r="AP3" s="40">
        <v>39.0</v>
      </c>
      <c r="AQ3" s="40">
        <v>40.0</v>
      </c>
      <c r="AR3" s="40">
        <v>41.0</v>
      </c>
      <c r="AS3" s="40">
        <v>42.0</v>
      </c>
      <c r="AT3" s="40">
        <v>43.0</v>
      </c>
      <c r="AU3" s="40">
        <v>44.0</v>
      </c>
      <c r="AV3" s="40">
        <v>45.0</v>
      </c>
      <c r="AW3" s="40">
        <v>46.0</v>
      </c>
      <c r="AX3" s="40">
        <v>47.0</v>
      </c>
      <c r="AY3" s="40">
        <v>48.0</v>
      </c>
      <c r="AZ3" s="40">
        <v>49.0</v>
      </c>
      <c r="BA3" s="40">
        <v>50.0</v>
      </c>
      <c r="BB3" s="40">
        <v>51.0</v>
      </c>
      <c r="BC3" s="40">
        <v>52.0</v>
      </c>
      <c r="BD3" s="40">
        <v>53.0</v>
      </c>
      <c r="BE3" s="40">
        <v>54.0</v>
      </c>
      <c r="BF3" s="40">
        <v>55.0</v>
      </c>
      <c r="BG3" s="40">
        <v>56.0</v>
      </c>
      <c r="BH3" s="40">
        <v>57.0</v>
      </c>
      <c r="BI3" s="40">
        <v>58.0</v>
      </c>
      <c r="BJ3" s="40">
        <v>59.0</v>
      </c>
      <c r="BK3" s="40">
        <v>60.0</v>
      </c>
      <c r="BL3" s="40">
        <v>61.0</v>
      </c>
      <c r="BM3" s="40">
        <v>62.0</v>
      </c>
      <c r="BN3" s="40">
        <v>63.0</v>
      </c>
      <c r="BO3" s="40">
        <v>64.0</v>
      </c>
      <c r="BP3" s="40">
        <v>65.0</v>
      </c>
      <c r="BQ3" s="40">
        <v>66.0</v>
      </c>
      <c r="BR3" s="40">
        <v>67.0</v>
      </c>
      <c r="BS3" s="40">
        <v>68.0</v>
      </c>
      <c r="BT3" s="40">
        <v>69.0</v>
      </c>
      <c r="BU3" s="40">
        <v>70.0</v>
      </c>
      <c r="BV3" s="40">
        <v>71.0</v>
      </c>
      <c r="BW3" s="40">
        <v>72.0</v>
      </c>
      <c r="BX3" s="40">
        <v>73.0</v>
      </c>
      <c r="BY3" s="40">
        <v>74.0</v>
      </c>
      <c r="BZ3" s="40">
        <v>75.0</v>
      </c>
      <c r="CA3" s="40">
        <v>76.0</v>
      </c>
      <c r="CB3" s="40">
        <v>77.0</v>
      </c>
      <c r="CC3" s="40">
        <v>78.0</v>
      </c>
      <c r="CD3" s="40">
        <v>79.0</v>
      </c>
      <c r="CE3" s="40">
        <v>80.0</v>
      </c>
      <c r="CF3" s="40">
        <v>81.0</v>
      </c>
      <c r="CG3" s="40">
        <v>82.0</v>
      </c>
      <c r="CH3" s="40">
        <v>83.0</v>
      </c>
      <c r="CI3" s="40">
        <v>84.0</v>
      </c>
      <c r="CJ3" s="40">
        <v>85.0</v>
      </c>
      <c r="CK3" s="40">
        <v>86.0</v>
      </c>
      <c r="CL3" s="40">
        <v>87.0</v>
      </c>
      <c r="CM3" s="40">
        <v>88.0</v>
      </c>
    </row>
    <row r="4" ht="14.25" customHeight="1">
      <c r="A4" s="30" t="s">
        <v>18</v>
      </c>
      <c r="B4" s="11" t="s">
        <v>19</v>
      </c>
      <c r="C4" s="41">
        <v>2.0</v>
      </c>
      <c r="D4" s="42"/>
      <c r="E4" s="43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</row>
    <row r="5" ht="14.25" customHeight="1">
      <c r="A5" s="30" t="s">
        <v>23</v>
      </c>
      <c r="B5" s="11" t="s">
        <v>24</v>
      </c>
      <c r="C5" s="41">
        <v>1.0</v>
      </c>
      <c r="D5" s="44"/>
      <c r="E5" s="42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5"/>
    </row>
    <row r="6" ht="14.25" customHeight="1">
      <c r="A6" s="30" t="s">
        <v>28</v>
      </c>
      <c r="B6" s="11" t="s">
        <v>29</v>
      </c>
      <c r="C6" s="41">
        <v>1.0</v>
      </c>
      <c r="D6" s="44"/>
      <c r="E6" s="44"/>
      <c r="F6" s="42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5"/>
    </row>
    <row r="7" ht="14.25" customHeight="1">
      <c r="A7" s="30" t="s">
        <v>32</v>
      </c>
      <c r="B7" s="11" t="s">
        <v>33</v>
      </c>
      <c r="C7" s="41">
        <v>5.0</v>
      </c>
      <c r="D7" s="44"/>
      <c r="E7" s="44"/>
      <c r="F7" s="44"/>
      <c r="G7" s="42"/>
      <c r="H7" s="42"/>
      <c r="I7" s="42"/>
      <c r="J7" s="42"/>
      <c r="K7" s="42"/>
      <c r="L7" s="44"/>
      <c r="M7" s="44"/>
      <c r="N7" s="44"/>
      <c r="O7" s="44"/>
      <c r="P7" s="44"/>
      <c r="Q7" s="44"/>
      <c r="R7" s="44"/>
      <c r="S7" s="44"/>
      <c r="T7" s="44"/>
      <c r="U7" s="45"/>
    </row>
    <row r="8" ht="14.25" customHeight="1">
      <c r="A8" s="30" t="s">
        <v>36</v>
      </c>
      <c r="B8" s="11" t="s">
        <v>37</v>
      </c>
      <c r="C8" s="41">
        <v>1.0</v>
      </c>
      <c r="D8" s="44"/>
      <c r="E8" s="44"/>
      <c r="F8" s="44"/>
      <c r="G8" s="44"/>
      <c r="H8" s="44"/>
      <c r="I8" s="44"/>
      <c r="J8" s="44"/>
      <c r="K8" s="42"/>
      <c r="L8" s="44"/>
      <c r="M8" s="44"/>
      <c r="N8" s="44"/>
      <c r="O8" s="44"/>
      <c r="P8" s="44"/>
      <c r="Q8" s="44"/>
      <c r="R8" s="44"/>
      <c r="S8" s="44"/>
      <c r="T8" s="44"/>
      <c r="U8" s="45"/>
    </row>
    <row r="9" ht="14.25" customHeight="1">
      <c r="A9" s="30" t="s">
        <v>40</v>
      </c>
      <c r="B9" s="4" t="s">
        <v>41</v>
      </c>
      <c r="C9" s="46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8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</row>
    <row r="10" ht="14.25" customHeight="1">
      <c r="A10" s="30" t="s">
        <v>43</v>
      </c>
      <c r="B10" s="11" t="s">
        <v>44</v>
      </c>
      <c r="C10" s="41">
        <v>3.0</v>
      </c>
      <c r="D10" s="44"/>
      <c r="E10" s="44"/>
      <c r="F10" s="44"/>
      <c r="G10" s="44"/>
      <c r="H10" s="44"/>
      <c r="I10" s="44"/>
      <c r="J10" s="44"/>
      <c r="K10" s="44"/>
      <c r="L10" s="42"/>
      <c r="M10" s="42"/>
      <c r="N10" s="42"/>
      <c r="O10" s="44"/>
      <c r="P10" s="44"/>
      <c r="Q10" s="44"/>
      <c r="R10" s="44"/>
      <c r="S10" s="44"/>
      <c r="T10" s="44"/>
      <c r="U10" s="45"/>
    </row>
    <row r="11" ht="14.25" customHeight="1">
      <c r="A11" s="30" t="s">
        <v>47</v>
      </c>
      <c r="B11" s="11" t="s">
        <v>48</v>
      </c>
      <c r="C11" s="41">
        <v>5.0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2"/>
      <c r="P11" s="42"/>
      <c r="Q11" s="42"/>
      <c r="R11" s="42"/>
      <c r="S11" s="42"/>
      <c r="T11" s="44"/>
      <c r="U11" s="45"/>
    </row>
    <row r="12" ht="14.25" customHeight="1">
      <c r="A12" s="30" t="s">
        <v>50</v>
      </c>
      <c r="B12" s="11" t="s">
        <v>51</v>
      </c>
      <c r="C12" s="41">
        <v>5.0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2"/>
      <c r="U12" s="50"/>
      <c r="V12" s="51"/>
      <c r="W12" s="51"/>
      <c r="X12" s="51"/>
    </row>
    <row r="13" ht="14.25" customHeight="1">
      <c r="A13" s="30" t="s">
        <v>54</v>
      </c>
      <c r="B13" s="11" t="s">
        <v>55</v>
      </c>
      <c r="C13" s="41">
        <v>9.0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5"/>
      <c r="Y13" s="51"/>
      <c r="Z13" s="51"/>
      <c r="AA13" s="51"/>
      <c r="AB13" s="51"/>
      <c r="AC13" s="51"/>
      <c r="AD13" s="51"/>
      <c r="AE13" s="51"/>
      <c r="AF13" s="51"/>
      <c r="AG13" s="51"/>
    </row>
    <row r="14" ht="14.25" customHeight="1">
      <c r="A14" s="30" t="s">
        <v>57</v>
      </c>
      <c r="B14" s="4" t="s">
        <v>58</v>
      </c>
      <c r="C14" s="52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5"/>
    </row>
    <row r="15" ht="14.25" customHeight="1">
      <c r="A15" s="30" t="s">
        <v>62</v>
      </c>
      <c r="B15" s="11" t="s">
        <v>63</v>
      </c>
      <c r="C15" s="41">
        <v>5.0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AH15" s="51"/>
      <c r="AI15" s="51"/>
      <c r="AJ15" s="51"/>
      <c r="AK15" s="51"/>
      <c r="AL15" s="51"/>
    </row>
    <row r="16" ht="14.25" customHeight="1">
      <c r="A16" s="30" t="s">
        <v>65</v>
      </c>
      <c r="B16" s="11" t="s">
        <v>66</v>
      </c>
      <c r="C16" s="41">
        <v>5.0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AM16" s="51"/>
      <c r="AN16" s="51"/>
      <c r="AO16" s="51"/>
      <c r="AP16" s="51"/>
      <c r="AQ16" s="51"/>
    </row>
    <row r="17" ht="14.25" customHeight="1">
      <c r="A17" s="30" t="s">
        <v>67</v>
      </c>
      <c r="B17" s="11" t="s">
        <v>68</v>
      </c>
      <c r="C17" s="41">
        <v>5.0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5"/>
      <c r="AR17" s="51"/>
      <c r="AS17" s="51"/>
      <c r="AT17" s="51"/>
      <c r="AU17" s="51"/>
      <c r="AV17" s="51"/>
    </row>
    <row r="18" ht="14.25" customHeight="1">
      <c r="A18" s="30" t="s">
        <v>69</v>
      </c>
      <c r="B18" s="11" t="s">
        <v>70</v>
      </c>
      <c r="C18" s="41">
        <v>5.0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5"/>
      <c r="AW18" s="51"/>
      <c r="AX18" s="51"/>
      <c r="AY18" s="51"/>
      <c r="AZ18" s="51"/>
      <c r="BA18" s="51"/>
    </row>
    <row r="19" ht="14.25" customHeight="1">
      <c r="A19" s="30" t="s">
        <v>71</v>
      </c>
      <c r="B19" s="11" t="s">
        <v>72</v>
      </c>
      <c r="C19" s="41">
        <v>5.0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BB19" s="51"/>
      <c r="BC19" s="51"/>
      <c r="BD19" s="51"/>
      <c r="BE19" s="51"/>
      <c r="BF19" s="51"/>
    </row>
    <row r="20" ht="14.25" customHeight="1">
      <c r="A20" s="30" t="s">
        <v>73</v>
      </c>
      <c r="B20" s="11" t="s">
        <v>74</v>
      </c>
      <c r="C20" s="41">
        <v>5.0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5"/>
      <c r="BG20" s="51"/>
      <c r="BH20" s="51"/>
      <c r="BI20" s="51"/>
      <c r="BJ20" s="51"/>
      <c r="BK20" s="51"/>
    </row>
    <row r="21" ht="14.25" customHeight="1">
      <c r="A21" s="30" t="s">
        <v>77</v>
      </c>
      <c r="B21" s="11" t="s">
        <v>78</v>
      </c>
      <c r="C21" s="41">
        <v>3.0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5"/>
      <c r="BL21" s="51"/>
      <c r="BM21" s="51"/>
      <c r="BN21" s="51"/>
    </row>
    <row r="22" ht="14.25" customHeight="1">
      <c r="A22" s="30" t="s">
        <v>79</v>
      </c>
      <c r="B22" s="4" t="s">
        <v>80</v>
      </c>
      <c r="C22" s="46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8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</row>
    <row r="23" ht="14.25" customHeight="1">
      <c r="A23" s="30" t="s">
        <v>81</v>
      </c>
      <c r="B23" s="11" t="s">
        <v>82</v>
      </c>
      <c r="C23" s="41">
        <v>3.0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BO23" s="51"/>
      <c r="BP23" s="51"/>
      <c r="BQ23" s="51"/>
    </row>
    <row r="24" ht="14.25" customHeight="1">
      <c r="A24" s="30" t="s">
        <v>83</v>
      </c>
      <c r="B24" s="11" t="s">
        <v>84</v>
      </c>
      <c r="C24" s="41">
        <v>3.0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  <c r="BR24" s="51"/>
      <c r="BS24" s="51"/>
      <c r="BT24" s="51"/>
    </row>
    <row r="25" ht="14.25" customHeight="1">
      <c r="A25" s="30" t="s">
        <v>85</v>
      </c>
      <c r="B25" s="11" t="s">
        <v>86</v>
      </c>
      <c r="C25" s="41">
        <v>3.0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5"/>
      <c r="BU25" s="51"/>
      <c r="BV25" s="51"/>
      <c r="BW25" s="51"/>
    </row>
    <row r="26" ht="14.25" customHeight="1">
      <c r="A26" s="30" t="s">
        <v>87</v>
      </c>
      <c r="B26" s="11" t="s">
        <v>88</v>
      </c>
      <c r="C26" s="41">
        <v>3.0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BX26" s="51"/>
      <c r="BY26" s="51"/>
      <c r="BZ26" s="51"/>
    </row>
    <row r="27" ht="14.25" customHeight="1">
      <c r="A27" s="30" t="s">
        <v>89</v>
      </c>
      <c r="B27" s="11" t="s">
        <v>90</v>
      </c>
      <c r="C27" s="41">
        <v>5.0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5"/>
      <c r="CA27" s="51"/>
      <c r="CB27" s="51"/>
      <c r="CC27" s="51"/>
      <c r="CD27" s="51"/>
      <c r="CE27" s="51"/>
    </row>
    <row r="28" ht="14.25" customHeight="1">
      <c r="A28" s="30" t="s">
        <v>91</v>
      </c>
      <c r="B28" s="11" t="s">
        <v>92</v>
      </c>
      <c r="C28" s="41">
        <v>3.0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CF28" s="51"/>
      <c r="CG28" s="51"/>
      <c r="CH28" s="51"/>
    </row>
    <row r="29" ht="14.25" customHeight="1">
      <c r="A29" s="30" t="s">
        <v>93</v>
      </c>
      <c r="B29" s="11" t="s">
        <v>94</v>
      </c>
      <c r="C29" s="41">
        <v>3.0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5"/>
      <c r="CI29" s="51"/>
      <c r="CJ29" s="51"/>
      <c r="CK29" s="51"/>
    </row>
    <row r="30" ht="14.25" customHeight="1">
      <c r="A30" s="30" t="s">
        <v>95</v>
      </c>
      <c r="B30" s="11" t="s">
        <v>96</v>
      </c>
      <c r="C30" s="41">
        <v>1.0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5"/>
      <c r="CL30" s="51"/>
    </row>
    <row r="31" ht="14.25" customHeight="1">
      <c r="A31" s="30" t="s">
        <v>97</v>
      </c>
      <c r="B31" s="11" t="s">
        <v>98</v>
      </c>
      <c r="C31" s="53">
        <v>1.0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5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1:T1"/>
    <mergeCell ref="B2:C2"/>
    <mergeCell ref="D2:H2"/>
    <mergeCell ref="I2:M2"/>
    <mergeCell ref="N2:R2"/>
    <mergeCell ref="S2:W2"/>
    <mergeCell ref="X2:AB2"/>
    <mergeCell ref="BL2:BP2"/>
    <mergeCell ref="BQ2:BU2"/>
    <mergeCell ref="BV2:BZ2"/>
    <mergeCell ref="CA2:CE2"/>
    <mergeCell ref="CF2:CJ2"/>
    <mergeCell ref="CK2:CM2"/>
    <mergeCell ref="AC2:AG2"/>
    <mergeCell ref="AH2:AL2"/>
    <mergeCell ref="AM2:AQ2"/>
    <mergeCell ref="AR2:AV2"/>
    <mergeCell ref="AW2:BA2"/>
    <mergeCell ref="BB2:BF2"/>
    <mergeCell ref="BG2:B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2024-08-22T14:19:05Z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4ad31b23-38de-4933-90c6-ec1d18d1ac6d</vt:lpwstr>
  </property>
  <property fmtid="{D5CDD505-2E9C-101B-9397-08002B2CF9AE}" pid="8" name="MSIP_Label_455b24b8-e69b-4583-bfd0-d64b5cee0119_ContentBits">
    <vt:lpwstr>0</vt:lpwstr>
  </property>
</Properties>
</file>